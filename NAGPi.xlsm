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vid\Free\projects\NAGPi\"/>
    </mc:Choice>
  </mc:AlternateContent>
  <xr:revisionPtr revIDLastSave="0" documentId="13_ncr:1_{5B476393-C33D-42F8-9320-43C3A1BCF98D}" xr6:coauthVersionLast="45" xr6:coauthVersionMax="45" xr10:uidLastSave="{00000000-0000-0000-0000-000000000000}"/>
  <bookViews>
    <workbookView xWindow="-120" yWindow="-120" windowWidth="29040" windowHeight="15840" xr2:uid="{A21B1A65-9E75-4DCD-8759-EC04D792A1A1}"/>
  </bookViews>
  <sheets>
    <sheet name="Home" sheetId="1" r:id="rId1"/>
    <sheet name="Spec" sheetId="2" r:id="rId2"/>
    <sheet name="BOM" sheetId="3" r:id="rId3"/>
    <sheet name="E-Stop" sheetId="4" r:id="rId4"/>
    <sheet name="FPV" sheetId="5" r:id="rId5"/>
    <sheet name="FAQ" sheetId="6" r:id="rId6"/>
    <sheet name="Learning" sheetId="10" r:id="rId7"/>
    <sheet name="Resources" sheetId="7" r:id="rId8"/>
    <sheet name="Glossary" sheetId="8" r:id="rId9"/>
    <sheet name="Log" sheetId="9" r:id="rId10"/>
    <sheet name="Caleb BOM" sheetId="11" r:id="rId11"/>
    <sheet name="Steps" sheetId="17" r:id="rId12"/>
    <sheet name="Tools" sheetId="18" r:id="rId13"/>
    <sheet name="Next time" sheetId="16" r:id="rId14"/>
    <sheet name="Navio V PixH" sheetId="12" r:id="rId15"/>
    <sheet name="Design Process" sheetId="13" r:id="rId16"/>
    <sheet name="Issues" sheetId="15" r:id="rId17"/>
    <sheet name="Weight Est" sheetId="14" r:id="rId18"/>
  </sheets>
  <calcPr calcId="181029" iterate="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4" l="1"/>
  <c r="F5" i="14"/>
  <c r="F6" i="14"/>
  <c r="F7" i="14"/>
  <c r="F8" i="14"/>
  <c r="F9" i="14"/>
  <c r="F10" i="14"/>
  <c r="F11" i="14"/>
  <c r="F12" i="14"/>
  <c r="F13" i="14"/>
  <c r="F14" i="14"/>
  <c r="F15" i="14"/>
  <c r="D17" i="14" l="1"/>
  <c r="D19" i="14" s="1"/>
</calcChain>
</file>

<file path=xl/sharedStrings.xml><?xml version="1.0" encoding="utf-8"?>
<sst xmlns="http://schemas.openxmlformats.org/spreadsheetml/2006/main" count="635" uniqueCount="390">
  <si>
    <t>Spec</t>
  </si>
  <si>
    <t>Motors</t>
  </si>
  <si>
    <t>Battery</t>
  </si>
  <si>
    <t>Frame</t>
  </si>
  <si>
    <t>Payload</t>
  </si>
  <si>
    <t>E-Calc</t>
  </si>
  <si>
    <t>Propeller</t>
  </si>
  <si>
    <t>Brain</t>
  </si>
  <si>
    <t>Camera</t>
  </si>
  <si>
    <t>Display</t>
  </si>
  <si>
    <t>RC Control</t>
  </si>
  <si>
    <t>BOM</t>
  </si>
  <si>
    <t># of</t>
  </si>
  <si>
    <t>Part</t>
  </si>
  <si>
    <t>#</t>
  </si>
  <si>
    <t>Unit Cost</t>
  </si>
  <si>
    <t>Total Cost</t>
  </si>
  <si>
    <t>Unit Weight</t>
  </si>
  <si>
    <t>Total Weight</t>
  </si>
  <si>
    <t>First Choice</t>
  </si>
  <si>
    <t>Second Choice</t>
  </si>
  <si>
    <t>Third Choice</t>
  </si>
  <si>
    <t>Tradeoffs</t>
  </si>
  <si>
    <t>Propellers</t>
  </si>
  <si>
    <t>Speed controller</t>
  </si>
  <si>
    <t>Capacity/Weight/Attachment - ease of swap</t>
  </si>
  <si>
    <t>RC Controller</t>
  </si>
  <si>
    <t>Display (goggles?)</t>
  </si>
  <si>
    <t>E-Stop</t>
  </si>
  <si>
    <t>Date</t>
  </si>
  <si>
    <t>Q</t>
  </si>
  <si>
    <t>A</t>
  </si>
  <si>
    <t>Remarks</t>
  </si>
  <si>
    <t>What can cause you to lose contact with base?</t>
  </si>
  <si>
    <t xml:space="preserve"> Someone could jam your frequency.
The air-unit could overheat and cease operation</t>
  </si>
  <si>
    <t>How do you detect that you are under legitimate control of base?</t>
  </si>
  <si>
    <t>FPV</t>
  </si>
  <si>
    <t>Name</t>
  </si>
  <si>
    <t>Cost</t>
  </si>
  <si>
    <t>Air Weight</t>
  </si>
  <si>
    <t>Source</t>
  </si>
  <si>
    <t>DJI FPV Fly More</t>
  </si>
  <si>
    <t>getfpv.com</t>
  </si>
  <si>
    <t>Video</t>
  </si>
  <si>
    <t xml:space="preserve">5.8 GHz; Gets very hot; For racing : </t>
  </si>
  <si>
    <t>FAQ</t>
  </si>
  <si>
    <t>Can you use Google VR for the FPV?</t>
  </si>
  <si>
    <t>Yes, it's been done.. iPhone - see YouTube - clubit :
https://www.youtube.com/watch?v=HukKR9Yt68c</t>
  </si>
  <si>
    <t>extremefliers.co.uk - a few complaints on the Indiegogo
They're working on 4.0</t>
  </si>
  <si>
    <t>How to send video to iPhone to use with Google cardboard?</t>
  </si>
  <si>
    <t>Is it possible to record video only at receive end?</t>
  </si>
  <si>
    <t>How to set up two receivers - with the hand-held commanding the car unit to record? (Idea is to reduce power consumption in the hand-held unit)</t>
  </si>
  <si>
    <t>When you lose contact with base-station, how to you execute a pre-programmed flight path to terminate mission safely? (return to home)</t>
  </si>
  <si>
    <t>Resources</t>
  </si>
  <si>
    <t>Category</t>
  </si>
  <si>
    <t>Vendor</t>
  </si>
  <si>
    <t>Weight</t>
  </si>
  <si>
    <t>Transport</t>
  </si>
  <si>
    <t>Pelican 1620 case</t>
  </si>
  <si>
    <t>Pelican</t>
  </si>
  <si>
    <t>Motor control</t>
  </si>
  <si>
    <t>T80A</t>
  </si>
  <si>
    <t>Tiger Motor</t>
  </si>
  <si>
    <t>g</t>
  </si>
  <si>
    <t>$</t>
  </si>
  <si>
    <t>Learning</t>
  </si>
  <si>
    <t>ESC tutorial</t>
  </si>
  <si>
    <t>Painless360</t>
  </si>
  <si>
    <t>https://www.youtube.com/watch?v=OZNxbxL7cdc</t>
  </si>
  <si>
    <t>Term</t>
  </si>
  <si>
    <t>Definition</t>
  </si>
  <si>
    <t>BEC</t>
  </si>
  <si>
    <t>Battery Eliminator Circuit -- enables power delivery without need for multiple batteries</t>
  </si>
  <si>
    <t>Why not use batteries in series - so you can use a tap for electronics and the sum for the motors?
Have to charge batteries separately?</t>
  </si>
  <si>
    <t>Blitzwolf</t>
  </si>
  <si>
    <t>How would you extend an RC controller - that is, add controls for more things - like start record, start something, etc..</t>
  </si>
  <si>
    <t>Log</t>
  </si>
  <si>
    <t>What</t>
  </si>
  <si>
    <t>Result</t>
  </si>
  <si>
    <t>Asked Eros Alzamoro (photographer if he knows anyone)</t>
  </si>
  <si>
    <t>Asked Matt Wells if he's into drones. Mentioned gutter cleaning</t>
  </si>
  <si>
    <t>Asked Jimy U if he knows anyone</t>
  </si>
  <si>
    <t>Asked Mickey Delp if he knows someone..</t>
  </si>
  <si>
    <t>Throttle calibration</t>
  </si>
  <si>
    <t>Process that ensures that RC controller throttle range matches the radio/ESC range</t>
  </si>
  <si>
    <t>FPV - View</t>
  </si>
  <si>
    <t>VR Headset for iPhone</t>
  </si>
  <si>
    <t>BNEXT</t>
  </si>
  <si>
    <t>Fat Shark 101 review</t>
  </si>
  <si>
    <t>Flite Test (YouTube)</t>
  </si>
  <si>
    <t>https://www.youtube.com/watch?v=WMhJEWWKCBE
learned about inuctrix FPV - which is Smartphone compatible</t>
  </si>
  <si>
    <t>Topic</t>
  </si>
  <si>
    <t>Knowledge</t>
  </si>
  <si>
    <t>LiPo batteries</t>
  </si>
  <si>
    <t>Flight controllers</t>
  </si>
  <si>
    <t>Radio Control (RC) and Telemetry</t>
  </si>
  <si>
    <t>Frames</t>
  </si>
  <si>
    <t>Battery Connectors</t>
  </si>
  <si>
    <t>GPS / Optical Flow</t>
  </si>
  <si>
    <t>Thrust to Weight Ratios</t>
  </si>
  <si>
    <t>Estimation of Weight</t>
  </si>
  <si>
    <t>Drive train : prop-motor-battery</t>
  </si>
  <si>
    <t>Estimating current draw and thrust</t>
  </si>
  <si>
    <t>Choosing ESCs</t>
  </si>
  <si>
    <t>Electronic Speed Controllers (ESC)</t>
  </si>
  <si>
    <t>Part Placement Planning</t>
  </si>
  <si>
    <t>Soldering Bullet Connectors to ESCs</t>
  </si>
  <si>
    <t>Soldering ESCs to PDB</t>
  </si>
  <si>
    <t>Soldering Battery Connector to PDB</t>
  </si>
  <si>
    <t>Installing Motors on Frame</t>
  </si>
  <si>
    <t>Attaching the Raspberry Pi</t>
  </si>
  <si>
    <t>PPM Encoder</t>
  </si>
  <si>
    <t>Wiring ESC PWM lines to flight controller</t>
  </si>
  <si>
    <t>Install Telemetry Module</t>
  </si>
  <si>
    <t>Connecting Battery</t>
  </si>
  <si>
    <t>Fixing Power Module</t>
  </si>
  <si>
    <t>Securing Propellers to Motors</t>
  </si>
  <si>
    <t>Configure ArduPilot</t>
  </si>
  <si>
    <t>Install Mission Planner</t>
  </si>
  <si>
    <t>Setting up RC Controller</t>
  </si>
  <si>
    <t>Charging LiPo</t>
  </si>
  <si>
    <t>Leashing the Drone</t>
  </si>
  <si>
    <t>Bought three courses on Udemy - $30.. started watching Caleb's R-Pi course</t>
  </si>
  <si>
    <t>Function</t>
  </si>
  <si>
    <t>Price</t>
  </si>
  <si>
    <t>Raspberry Pi</t>
  </si>
  <si>
    <t>computer</t>
  </si>
  <si>
    <t>https://amzn.to/2mrd72g</t>
  </si>
  <si>
    <t>NAVIO</t>
  </si>
  <si>
    <t>power module, wires, GPS, controller</t>
  </si>
  <si>
    <t>https://store.emlid.com/product/navio2/?wpam_id=3</t>
  </si>
  <si>
    <t>ESC</t>
  </si>
  <si>
    <t>Electronic Speed Controller x 4</t>
  </si>
  <si>
    <t>https://amzn.to/2kTweBt</t>
  </si>
  <si>
    <t>https://amzn.to/2ltKilA</t>
  </si>
  <si>
    <t>Motors x 4</t>
  </si>
  <si>
    <t>Remote Controller</t>
  </si>
  <si>
    <t>https://amzn.to/2n05Zdq</t>
  </si>
  <si>
    <t>Frame on which to add components</t>
  </si>
  <si>
    <t>Already have S-500 from AliExpress</t>
  </si>
  <si>
    <t>https://amzn.to/2mSmNCW</t>
  </si>
  <si>
    <t xml:space="preserve">Propellers x </t>
  </si>
  <si>
    <t>https://amzn.to/2my3w9C</t>
  </si>
  <si>
    <t>Have S-500 kit already</t>
  </si>
  <si>
    <t>https://amzn.to/2kSlzHe</t>
  </si>
  <si>
    <t>Power source</t>
  </si>
  <si>
    <t>Battery charger</t>
  </si>
  <si>
    <t>https://amzn.to/2kXA1hi</t>
  </si>
  <si>
    <t>Telemetry</t>
  </si>
  <si>
    <t>Remote measurment</t>
  </si>
  <si>
    <t>https://amzn.to/2myfH6l</t>
  </si>
  <si>
    <t>Battery case</t>
  </si>
  <si>
    <t>LiPo Fire-proof case</t>
  </si>
  <si>
    <t>https://amzn.to/2lsRu1i</t>
  </si>
  <si>
    <t>https://amzn.to/2n1hjWR</t>
  </si>
  <si>
    <t>enables comm of control through RC controller</t>
  </si>
  <si>
    <t>SD Card</t>
  </si>
  <si>
    <t>OS storage for Raspberry pi and hard disk</t>
  </si>
  <si>
    <t>https://amzn.to/2lvcJiS</t>
  </si>
  <si>
    <t>Micro SD to USB</t>
  </si>
  <si>
    <t>Adapter to program SD card through PC</t>
  </si>
  <si>
    <t>https://amzn.to/2n09yQQ</t>
  </si>
  <si>
    <t>Battery Connector</t>
  </si>
  <si>
    <t>connector</t>
  </si>
  <si>
    <t>GPS mount</t>
  </si>
  <si>
    <t>Connects GPS to the frame</t>
  </si>
  <si>
    <t>https://amzn.to/2luGOiz</t>
  </si>
  <si>
    <t>Velcro straps</t>
  </si>
  <si>
    <t>https://amzn.to/2lsloTe</t>
  </si>
  <si>
    <t>Scotch tape</t>
  </si>
  <si>
    <t>https://amzn.to/2mSsdxM</t>
  </si>
  <si>
    <t>Zip ties</t>
  </si>
  <si>
    <t>https://amzn.to/2lveUTA</t>
  </si>
  <si>
    <t>How is the system generating power for the Pi from the battery?</t>
  </si>
  <si>
    <t>50.5 on Sparkfun (6 ship 4 tax)</t>
  </si>
  <si>
    <t>AMZN is also robotshop - and it's 242 @ checkout
Robotshop site : 8.25% TX tas, 230.5 total</t>
  </si>
  <si>
    <t>getting through Walmart</t>
  </si>
  <si>
    <t>Luxury?</t>
  </si>
  <si>
    <t>KV rating</t>
  </si>
  <si>
    <t>The RPM that will result from applied voltage with no load on motor
3100 KV = 3100 rpm / V</t>
  </si>
  <si>
    <t>Caleb</t>
  </si>
  <si>
    <t>C rating</t>
  </si>
  <si>
    <t>The max current that can be drawn safely
Take mAh rating and C rating, then Imax = Ah * C</t>
  </si>
  <si>
    <t>Units of C rating are 1/h (1/hour)</t>
  </si>
  <si>
    <t>Unit</t>
  </si>
  <si>
    <t>NAVIO2</t>
  </si>
  <si>
    <t>pixhawk</t>
  </si>
  <si>
    <t>23 + 45 (3B+) = 68</t>
  </si>
  <si>
    <t>He says 62 g in the video #9 FC part 2</t>
  </si>
  <si>
    <t>faster - optimized for real-time processing</t>
  </si>
  <si>
    <t>Computing power not shared with other demands</t>
  </si>
  <si>
    <t>Dimension</t>
  </si>
  <si>
    <t>Barrier to entry (learning curve)</t>
  </si>
  <si>
    <t>Higher</t>
  </si>
  <si>
    <t>Ease of firmware upgrade</t>
  </si>
  <si>
    <t>Harder</t>
  </si>
  <si>
    <t>Communication with PC</t>
  </si>
  <si>
    <t>Have to set up manually - no simple SSH</t>
  </si>
  <si>
    <t>Not used in industrial applications - proof of c only</t>
  </si>
  <si>
    <t>PREEMPT RT path
What about a dedicated thread for the FC? On multiprocessor Pi?</t>
  </si>
  <si>
    <t>Step</t>
  </si>
  <si>
    <t>Estimate the total drone weight</t>
  </si>
  <si>
    <t>Caleb's course</t>
  </si>
  <si>
    <t>Motor</t>
  </si>
  <si>
    <t>RC Receiver</t>
  </si>
  <si>
    <t>Telemetry unit</t>
  </si>
  <si>
    <t>Flight Controller</t>
  </si>
  <si>
    <t>PDB</t>
  </si>
  <si>
    <t>GPS</t>
  </si>
  <si>
    <t>Misc</t>
  </si>
  <si>
    <t>Total weight (g)</t>
  </si>
  <si>
    <t>TWR Goal</t>
  </si>
  <si>
    <t>Required thrust (g)</t>
  </si>
  <si>
    <t>w/o electronics - use F450 from Amazon</t>
  </si>
  <si>
    <t xml:space="preserve">estimate </t>
  </si>
  <si>
    <t>LiPo 3S 3000 mAh 30C C : JST-XH D : Deans</t>
  </si>
  <si>
    <t>How can you measure the thrust of your drone?</t>
  </si>
  <si>
    <t>Determine required thrust using TWR of 2</t>
  </si>
  <si>
    <t>Determine drivetrain combo - prop/motor/battery</t>
  </si>
  <si>
    <t>Determine max current draw</t>
  </si>
  <si>
    <t>Select ESC with 20% higher Imax</t>
  </si>
  <si>
    <t>Issues</t>
  </si>
  <si>
    <t>Wt Estimate</t>
  </si>
  <si>
    <t>Design Process</t>
  </si>
  <si>
    <t>What can go wrong</t>
  </si>
  <si>
    <t>Short summary</t>
  </si>
  <si>
    <t>Aggravator</t>
  </si>
  <si>
    <t>Remedy</t>
  </si>
  <si>
    <t>Motor spin direction wrong</t>
  </si>
  <si>
    <t>You soldered and heat-shrunk the connection from ESC to motor, so you now have to do surgery</t>
  </si>
  <si>
    <t>Get someone else's design process and compare your step to that - where are you in the overall procedure - what issues can arise?</t>
  </si>
  <si>
    <t>Keyword</t>
  </si>
  <si>
    <t>Be proactive</t>
  </si>
  <si>
    <t>Status</t>
  </si>
  <si>
    <t>here</t>
  </si>
  <si>
    <t>old</t>
  </si>
  <si>
    <t>Domain</t>
  </si>
  <si>
    <t>Problem</t>
  </si>
  <si>
    <t>Next time!</t>
  </si>
  <si>
    <t>Pi</t>
  </si>
  <si>
    <t>Write down when you're planning to do and google "unable to xyz" :)
In this case, you would have touched "ssh" in the boot drive</t>
  </si>
  <si>
    <t>You set up WiFi and then, headlessly, you try to ssh in and get connection refused
To shutdown, you have to connect a keyboard and blindly, do "sudo shutdown -h now"</t>
  </si>
  <si>
    <t>Task</t>
  </si>
  <si>
    <t>Verb</t>
  </si>
  <si>
    <t>Take a scale, attach your drone a to a weight that well exceeds the thrust and then measure the difference between the weight by itself and the weight with the drone providing lift</t>
  </si>
  <si>
    <t>Closed</t>
  </si>
  <si>
    <t>Steps</t>
  </si>
  <si>
    <t>Object</t>
  </si>
  <si>
    <t>What do you need to install on the SD card if all you have is NOOBS - and nothing drone specific?</t>
  </si>
  <si>
    <t>Caleb BOM</t>
  </si>
  <si>
    <t>You put in a wpa_supplicant the first time, and you were able to connect the Pi to the WiFi. But, the wpa_supplicant has since vanished. How do you put in WiFi credentials for a new WiFi network at a different location?</t>
  </si>
  <si>
    <t>Place Power Distribution Board (PDB) on flat surface</t>
  </si>
  <si>
    <t>Place</t>
  </si>
  <si>
    <t>done</t>
  </si>
  <si>
    <t>Place legs on the PDB</t>
  </si>
  <si>
    <t>legs</t>
  </si>
  <si>
    <t>top-plate</t>
  </si>
  <si>
    <t>Place top-plate (board) on the legs</t>
  </si>
  <si>
    <t>FC</t>
  </si>
  <si>
    <t>battery</t>
  </si>
  <si>
    <t>Place battery below PDB horizontally - wrt vertical being defined by the top-bot axis of the drone
You can secure it later with velcro straps</t>
  </si>
  <si>
    <t>Place an ESC under one of the arms and ensure the wires will reach the battery voltage terminals near the leg mounting screw holes</t>
  </si>
  <si>
    <t>Place RC receiver on mounting area on the south side of PDB</t>
  </si>
  <si>
    <t>RC RX</t>
  </si>
  <si>
    <t>Place PPM encoder on SW corner of the top-plate near the FC</t>
  </si>
  <si>
    <t>PPME</t>
  </si>
  <si>
    <t>Place GPS mount on SE corner, on the leg</t>
  </si>
  <si>
    <t>Connection</t>
  </si>
  <si>
    <t>Solder the female bullet connectors to the ESC motor wires</t>
  </si>
  <si>
    <t>Solder</t>
  </si>
  <si>
    <t>female bullet connectors</t>
  </si>
  <si>
    <t>NAGpi uses hard-wiring - no connectors</t>
  </si>
  <si>
    <t>Watching Caleb solder - my thought - dude, get you flux!</t>
  </si>
  <si>
    <t>Solder the ESC power wires to the PDB</t>
  </si>
  <si>
    <t>ESC power wires</t>
  </si>
  <si>
    <t>Tools</t>
  </si>
  <si>
    <t>Tool</t>
  </si>
  <si>
    <t>Soldering iron</t>
  </si>
  <si>
    <t>Soldering iron stand</t>
  </si>
  <si>
    <t>400 degC recommended</t>
  </si>
  <si>
    <t>battery connector</t>
  </si>
  <si>
    <t>Solder the battery connector to the PDB (use largest iron from soldering kit)</t>
  </si>
  <si>
    <t>Attach</t>
  </si>
  <si>
    <t>Attach legs to the frame using the screws</t>
  </si>
  <si>
    <t>Legs</t>
  </si>
  <si>
    <t>done - may not be correct</t>
  </si>
  <si>
    <t>Place Pi+NAVIO combo (Flight Controller aka FC) on the top-plate
Keep as close to CG of drone as possible so that IMUs provide reliable data; USB connectors point north</t>
  </si>
  <si>
    <t>Procure drill bits for prepping top-plate to receive FC</t>
  </si>
  <si>
    <t>Procure</t>
  </si>
  <si>
    <t>drill bits</t>
  </si>
  <si>
    <t>Attach motors to the legs. Black nut signifies clockwise rotation and red ACW; "Props should spin INTO the N/S line"</t>
  </si>
  <si>
    <t>On the south-side (one without the USB connectors) use a marker to register the position of the mounting holes on the top-plate</t>
  </si>
  <si>
    <t>Register</t>
  </si>
  <si>
    <t>Determine</t>
  </si>
  <si>
    <t>Drill into waster material with a couple drill bits whose sizes match the screws intended to be used</t>
  </si>
  <si>
    <t>Drill</t>
  </si>
  <si>
    <t>waste material</t>
  </si>
  <si>
    <t>Test the screws in the drilled holes</t>
  </si>
  <si>
    <t>Test</t>
  </si>
  <si>
    <t>screws</t>
  </si>
  <si>
    <t>Determine the right drill bit to be used based on the fit of the screw</t>
  </si>
  <si>
    <t>drill bit</t>
  </si>
  <si>
    <t>Detach</t>
  </si>
  <si>
    <t>Place the Raspberry Pi on the top-plate</t>
  </si>
  <si>
    <t>Drill the south-side holes (2) into the top-plate for the Pi mount. Start while top-plate is on a flat surface</t>
  </si>
  <si>
    <t>Attach the Pi to the top-plate using screws and the recently drilled holes</t>
  </si>
  <si>
    <t>Detach the Pi from the top-plate</t>
  </si>
  <si>
    <t>With the FC attached to the top-plate, use the smalest drill bit to drill holes on the north side through the existing mounting holes in the Pi board</t>
  </si>
  <si>
    <t>Using the same drill bit used for the south-side holes, complete the holes for the north-side of the  Pi on the top-plate</t>
  </si>
  <si>
    <t>Attach the NAVIO2 to the Pi to complete the FC using the spacers, header adapter and screws from the kit</t>
  </si>
  <si>
    <t>Attach the FC to the top-plate using the screws and the recently drilled holes</t>
  </si>
  <si>
    <t>Widen the leg-holes on the top-plate slightly for the connection to the legs using a drill bit of appropriate size</t>
  </si>
  <si>
    <t>Widen</t>
  </si>
  <si>
    <t>Mounting holes</t>
  </si>
  <si>
    <t>Attach 8 mm spacers to the outermost holes on the legs (intended to receive screws attaching the top-plate) - because the screws used to connect the FC to the top-plate will interfere with the legs if just screws (and not spacers) are used to attach the top-plate to the legs</t>
  </si>
  <si>
    <t>8 mm spacers</t>
  </si>
  <si>
    <t>Attach the FC (Pi + NAVIO) to the top-plate with screws threaded into the spacers</t>
  </si>
  <si>
    <t>Connect</t>
  </si>
  <si>
    <t>ESCs</t>
  </si>
  <si>
    <t>Connect the ESCs to the undersides of the legs (aka arms) using zip ties (Lecture 31)</t>
  </si>
  <si>
    <t>Sync</t>
  </si>
  <si>
    <t>Connect jumper wire from RC Controller set to the port labeled BATT on the RX</t>
  </si>
  <si>
    <t>jumper</t>
  </si>
  <si>
    <t>https://amzn.to/2n0a3KI</t>
  </si>
  <si>
    <t>Connect the RWB (red,white,black) cable from any of the ESCs and plug it into channel 3 of the RX. Put the white wire of the cable on the inside and the black wire on the edge</t>
  </si>
  <si>
    <t>ESC signal cable</t>
  </si>
  <si>
    <t>After ESC is connected to channel 3 on the RX, connect the battery to the PDB</t>
  </si>
  <si>
    <t>Observe that the LED on the RX is blinking</t>
  </si>
  <si>
    <t>Observe</t>
  </si>
  <si>
    <t>RX-LED</t>
  </si>
  <si>
    <t>With the RC-TX powered (8x AA), hold the bind-key button down and power-up the RC-TX</t>
  </si>
  <si>
    <t>Power-up</t>
  </si>
  <si>
    <t>RC-TX</t>
  </si>
  <si>
    <t>Observe that the LED on the RX is now ON solid</t>
  </si>
  <si>
    <t>Calibrate</t>
  </si>
  <si>
    <t>Connect the ESC signal cable into channel 3 of the RX (no jumper on RX)</t>
  </si>
  <si>
    <t>Set</t>
  </si>
  <si>
    <t>Set the throttle stick on the RC-TX to the the max position</t>
  </si>
  <si>
    <t>Throttle stick</t>
  </si>
  <si>
    <t>Power up the RC-TX</t>
  </si>
  <si>
    <t>RX and TX are paired. Power-off the RC-TX</t>
  </si>
  <si>
    <t>Power off</t>
  </si>
  <si>
    <t>Ensure the motor connected to the live (soon to be) ESC does not have a propeller on it</t>
  </si>
  <si>
    <t>Ensure</t>
  </si>
  <si>
    <t>Connect the battery to the PDB</t>
  </si>
  <si>
    <t>Note the tune (#1) emitted by the motor when the ESCs are powered by the battery</t>
  </si>
  <si>
    <t>Observe the motor emit a ding-ding signal after the tune #1</t>
  </si>
  <si>
    <t>After the ding-ding signal has been heard, set the throttle stick to the minimum position</t>
  </si>
  <si>
    <t>Observe the motor emit a ding-ding-ding (3x) signal</t>
  </si>
  <si>
    <t>Power off the RC-TX</t>
  </si>
  <si>
    <t>Spin direction</t>
  </si>
  <si>
    <t>We want each blade to cross the its leg coming from the N/S line. This means, looking from above, the NW and SE props should spin CW and the other two CCW</t>
  </si>
  <si>
    <t>n/a</t>
  </si>
  <si>
    <t>Set the throttle stick on the RC-TX to the the min position</t>
  </si>
  <si>
    <t>Connect a propeller to a target motor</t>
  </si>
  <si>
    <t>Connect the Signal cable of the target motor's ESC to channel 3 of the RX</t>
  </si>
  <si>
    <t>You can't start with one distro (like Raspian aka Noobs) and then install stuff. Emlid requires that you start with their image!</t>
  </si>
  <si>
    <t>/etc/wpa_supplicant/wpa_supplicant.conf</t>
  </si>
  <si>
    <t>If you put a new one in the boot drive (visible from PC on your SD card) it will overwrite the /etc one..</t>
  </si>
  <si>
    <t>The NAVIO conveys the power through pins - the power is from the power-module that comes with the NAVIO order - it has a board that takes the battery as input</t>
  </si>
  <si>
    <t>Where does GPS module get its power from?</t>
  </si>
  <si>
    <t>There is no power required
This is just an antenna. It needs to
receive the GPS signals free from
noise, hence physical isolation</t>
  </si>
  <si>
    <t>Idiot! W/o the male-Deans to XT60, you can't do anything</t>
  </si>
  <si>
    <t>Should have purchased Deans-XT60 adapter early :(</t>
  </si>
  <si>
    <t>Connect battery to PDB</t>
  </si>
  <si>
    <t>Push throttle stick very slightly so propeller starts to move</t>
  </si>
  <si>
    <t>Push</t>
  </si>
  <si>
    <t>Check if spin direction matches requirement specified above in the "We want each blade.. " step</t>
  </si>
  <si>
    <t>Check</t>
  </si>
  <si>
    <t>If spin direction determined in previous step needs to be reversed, flip any two of the connections from the ESC to the motor</t>
  </si>
  <si>
    <t>Flip</t>
  </si>
  <si>
    <t>ESC-motor wire connections</t>
  </si>
  <si>
    <t>Cover</t>
  </si>
  <si>
    <t>Fix RC RX &amp; PPM Encoder</t>
  </si>
  <si>
    <t>Prevent a short circuit between the connectors connecting the ESC to the motor by covering them with electrical tape or heat shrink</t>
  </si>
  <si>
    <t>NAVIO-PPM-cable</t>
  </si>
  <si>
    <t>Attach black header on other end of NAVIO-PPM cable to the PPMSB port of the NAVIO with the white wire up (vertically)</t>
  </si>
  <si>
    <t>PPM-RX cable headers</t>
  </si>
  <si>
    <t>Attach the PPM-RX headers to the PPM Encoder and the RC RX with the signal wire always on the inside (i.e, away from edge) (CH1 : white)</t>
  </si>
  <si>
    <t>Use two-sided tape to attach the PPM encoder to the SW leg, close to the center, with the NAVIO header facing NW</t>
  </si>
  <si>
    <t>Use two-sided tape to attach the RC RX to the available space on the south end of the PDB with the Channels header facing into the drone</t>
  </si>
  <si>
    <t>Attach three wire NAVIO-PPM cable's white male header to the PPM encoder module. Looking into the header, white wire needs to be on the left</t>
  </si>
  <si>
    <t>Connect ESCs to NAVIO</t>
  </si>
  <si>
    <t>Connect the header from the top-right ESC into port 1 (next to PPMSB) of the NAVIO with the white wire uppermost (vertically)</t>
  </si>
  <si>
    <t>Inventory</t>
  </si>
  <si>
    <t>successful</t>
  </si>
  <si>
    <t>In our case, White == Yellow</t>
  </si>
  <si>
    <t>No response to throttle - at powerup (connect BATT) just one long beep from ESC</t>
  </si>
  <si>
    <t>Check that your battery voltage is OK - you could use the charger to check it
Are you sure you're using CH3 for throttle? That was my mistake</t>
  </si>
  <si>
    <t>When I connect the other ESC's to other channels - like 1 or 2, there's no response. Why?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</si>
</sst>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14" fontId="5" fillId="0" borderId="0" xfId="0" applyNumberFormat="1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2" fillId="0" borderId="0" xfId="1"/>
    <xf numFmtId="0" fontId="0" fillId="5" borderId="0" xfId="0" applyFill="1" applyAlignment="1">
      <alignment horizontal="center" vertical="center" wrapText="1"/>
    </xf>
    <xf numFmtId="0" fontId="2" fillId="0" borderId="0" xfId="1" applyAlignment="1">
      <alignment wrapText="1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26"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5E071-D44B-40A7-A850-6CD499708A7D}" name="Table1" displayName="Table1" ref="B3:L10" headerRowDxfId="125" dataDxfId="124">
  <tableColumns count="11">
    <tableColumn id="1" xr3:uid="{877A87F4-4ECF-4681-9CEA-2707E525518B}" name="#" totalsRowLabel="Total" dataDxfId="123" totalsRowDxfId="122"/>
    <tableColumn id="2" xr3:uid="{4C7623E9-D9B0-4452-A48D-2B7E5819E131}" name="Part" dataDxfId="121" totalsRowDxfId="120"/>
    <tableColumn id="3" xr3:uid="{E8795E02-92E6-4ED5-A9E5-E8DDAF67AB19}" name="# of" dataDxfId="119" totalsRowDxfId="118"/>
    <tableColumn id="4" xr3:uid="{3275C8FF-EF86-49DB-AD86-E58F8F024827}" name="Unit Cost" dataDxfId="117" totalsRowDxfId="116"/>
    <tableColumn id="5" xr3:uid="{F0EB8F49-707D-4602-98E4-A2E9B7EF9D64}" name="Total Cost" dataDxfId="115" totalsRowDxfId="114"/>
    <tableColumn id="6" xr3:uid="{B0AAD3A5-25A1-44B3-836E-A43C2EC47E60}" name="Unit Weight" dataDxfId="113" totalsRowDxfId="112"/>
    <tableColumn id="7" xr3:uid="{E1397B25-39D0-4B24-8AA9-11FE65BEA2D7}" name="Total Weight" dataDxfId="111" totalsRowDxfId="110"/>
    <tableColumn id="8" xr3:uid="{AB23829E-72AE-4859-9EE6-464C5523BF89}" name="Tradeoffs" dataDxfId="109" totalsRowDxfId="108"/>
    <tableColumn id="9" xr3:uid="{8919F278-00D6-4078-B669-BE6DA1DE1FB2}" name="First Choice" dataDxfId="107" totalsRowDxfId="106"/>
    <tableColumn id="10" xr3:uid="{B39E6790-B844-4688-A607-9E77549FD696}" name="Second Choice" dataDxfId="105" totalsRowDxfId="104"/>
    <tableColumn id="11" xr3:uid="{C11E974E-080C-410C-9FFF-B1AD6442FD84}" name="Third Choice" totalsRowFunction="count" dataDxfId="103" totalsRowDxfId="10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388D95F-CCB9-45E5-9A91-E7CBF1172A14}" name="Table2" displayName="Table2" ref="B3:F18" totalsRowShown="0" headerRowDxfId="101" dataDxfId="100">
  <autoFilter ref="B3:F18" xr:uid="{9C77E46D-D656-4A33-BE97-DDA3D1A45020}"/>
  <tableColumns count="5">
    <tableColumn id="1" xr3:uid="{76FCD449-F6FD-46F8-9E5D-07C93C9B0EB0}" name="#" dataDxfId="99"/>
    <tableColumn id="2" xr3:uid="{3816F6AA-1943-4D4D-A999-D0AAF12F675D}" name="Date" dataDxfId="98"/>
    <tableColumn id="3" xr3:uid="{6573D7D5-39A2-4C95-88AD-54DE7EF6A0AA}" name="Q" dataDxfId="97"/>
    <tableColumn id="4" xr3:uid="{E55DA52F-7547-470C-829B-F06B0A90A1B9}" name="A" dataDxfId="96"/>
    <tableColumn id="5" xr3:uid="{6B946BDE-F94A-4725-B707-6AE6A1F0E154}" name="Remarks" dataDxfId="95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A59805-FF89-4AC4-8FFF-B2382374B2FB}" name="Table3" displayName="Table3" ref="B3:H34" totalsRowShown="0" headerRowDxfId="94" dataDxfId="93">
  <tableColumns count="7">
    <tableColumn id="1" xr3:uid="{2C9C0308-2780-446C-A4CD-4FEA45F39AFC}" name="#" dataDxfId="92"/>
    <tableColumn id="2" xr3:uid="{627F9D0D-A7DF-4A58-8E1D-DA1CFE91797C}" name="Name" dataDxfId="91"/>
    <tableColumn id="7" xr3:uid="{77ED9E67-A0F8-4A48-84B2-FD9C045F6BB3}" name="Video" dataDxfId="90"/>
    <tableColumn id="3" xr3:uid="{FA588A20-57E6-412B-ABBB-479A46B97D61}" name="Cost" dataDxfId="89"/>
    <tableColumn id="4" xr3:uid="{29D4C537-4743-4796-808C-45EC3EAFBD1B}" name="Air Weight" dataDxfId="88"/>
    <tableColumn id="5" xr3:uid="{25DB4B5D-624D-4F02-9DE7-9C65DCE4BEE4}" name="Source" dataDxfId="87"/>
    <tableColumn id="6" xr3:uid="{AB11B06A-A973-46A7-928D-B642EA54F54D}" name="Remarks" dataDxfId="86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D684CD-3F87-4CC4-9F58-DCD0C9795714}" name="Table4" displayName="Table4" ref="B3:G23" totalsRowShown="0" headerRowDxfId="85" dataDxfId="84">
  <autoFilter ref="B3:G23" xr:uid="{48F693AC-B130-41F5-B96E-869B44DD3445}">
    <filterColumn colId="2">
      <filters blank="1"/>
    </filterColumn>
  </autoFilter>
  <tableColumns count="6">
    <tableColumn id="1" xr3:uid="{C417B965-5817-471A-82AB-10095EC9CEE3}" name="#" dataDxfId="83"/>
    <tableColumn id="2" xr3:uid="{241919A1-907B-40B5-842B-8B816F3D30DC}" name="Date" dataDxfId="82"/>
    <tableColumn id="6" xr3:uid="{D46E3E32-3232-4DCE-BCFC-60C8AF4439B9}" name="Status" dataDxfId="81"/>
    <tableColumn id="3" xr3:uid="{2E3FB355-18A1-4F15-8F6C-5ADCCFF8CEA7}" name="Q" dataDxfId="80"/>
    <tableColumn id="4" xr3:uid="{E34FB404-08B1-45F0-970F-6086335B5AEB}" name="A" dataDxfId="79"/>
    <tableColumn id="5" xr3:uid="{393118E1-65A8-4F66-9E75-C73864AE2F42}" name="Remarks" dataDxfId="78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0755E3-9C99-4133-9C02-ACAC79BD6101}" name="Table5" displayName="Table5" ref="B3:H31" totalsRowShown="0" headerRowDxfId="77" dataDxfId="76">
  <tableColumns count="7">
    <tableColumn id="1" xr3:uid="{EF1E8A55-DA11-43FF-95B0-65A2A35AE31F}" name="#" dataDxfId="75"/>
    <tableColumn id="2" xr3:uid="{8BBDE3A9-EDE0-4588-B4BD-230C204E7343}" name="Category" dataDxfId="74"/>
    <tableColumn id="3" xr3:uid="{FACDDA3C-6320-4A60-887D-03CF4DE2990B}" name="Part" dataDxfId="73"/>
    <tableColumn id="4" xr3:uid="{BD3829E5-EAEF-4715-BCF6-0EBB0601FA4A}" name="Vendor" dataDxfId="72"/>
    <tableColumn id="5" xr3:uid="{22A33A72-64F1-4AAC-A421-24AF741B5187}" name="Weight" dataDxfId="71"/>
    <tableColumn id="6" xr3:uid="{F37E023B-2D9C-4E44-AA08-9AB8153AF0C3}" name="Cost" dataDxfId="70"/>
    <tableColumn id="7" xr3:uid="{11FDD0D5-6474-442E-B969-4DFE16369A0C}" name="Remarks" dataDxfId="69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F4AFF6-5E5C-45A0-9460-06A9E513A7D6}" name="Table6" displayName="Table6" ref="B3:E36" totalsRowShown="0" headerRowDxfId="68" dataDxfId="67">
  <tableColumns count="4">
    <tableColumn id="1" xr3:uid="{12DC9757-9874-4004-920A-90035FC34245}" name="#" dataDxfId="66"/>
    <tableColumn id="2" xr3:uid="{80ECF349-D774-40B9-844E-B31452204643}" name="Term" dataDxfId="65"/>
    <tableColumn id="3" xr3:uid="{18B8B3F0-7157-4F7E-B25D-44AE6EB69E5D}" name="Definition" dataDxfId="64"/>
    <tableColumn id="4" xr3:uid="{3609D9B9-8F57-40F8-AAA4-0B5A78122589}" name="Remarks" dataDxfId="63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15770A-6FD9-47C7-BFE5-84C97170D3A1}" name="Table7" displayName="Table7" ref="B3:E28" totalsRowShown="0" headerRowDxfId="62" dataDxfId="61">
  <autoFilter ref="B3:E28" xr:uid="{99310F41-89A6-464B-A5BB-2E0405C86ECC}"/>
  <tableColumns count="4">
    <tableColumn id="1" xr3:uid="{38B2C053-C06B-4F28-A2EC-0AD3D7C8B44C}" name="#" dataDxfId="60"/>
    <tableColumn id="2" xr3:uid="{147E68DE-41E4-4E9C-B2FB-9856AF130206}" name="Date" dataDxfId="59"/>
    <tableColumn id="3" xr3:uid="{060DDA53-7E62-4C9B-9FDC-62E70703110A}" name="What" dataDxfId="58"/>
    <tableColumn id="4" xr3:uid="{E9322E95-B5DD-4F16-86C3-664A8DE6F53D}" name="Result" dataDxfId="57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EE21E4-E6AE-4B84-96CA-E7372F2E839A}" name="Table8" displayName="Table8" ref="B3:H22" totalsRowShown="0" headerRowDxfId="56" dataDxfId="55">
  <autoFilter ref="B3:H22" xr:uid="{81D3C93C-5211-489B-BF50-43B9B8B7F3AC}"/>
  <tableColumns count="7">
    <tableColumn id="1" xr3:uid="{1B45E0D6-054A-40B4-A467-245F342B342C}" name="#" dataDxfId="54"/>
    <tableColumn id="2" xr3:uid="{45541E2F-F69E-49D0-A6A0-BB8626269B3B}" name="Name" dataDxfId="53"/>
    <tableColumn id="3" xr3:uid="{3CA6F752-6968-421A-8B9C-0FA0F4365DBC}" name="Function" dataDxfId="52"/>
    <tableColumn id="4" xr3:uid="{C9F92DC2-1EA6-4DA1-BBDA-AFC2AEE2CBE7}" name="Price" dataDxfId="51"/>
    <tableColumn id="5" xr3:uid="{53D8AE53-99E3-47AD-8887-6F3F5DDFFB7E}" name="Source" dataDxfId="50" dataCellStyle="Hyperlink"/>
    <tableColumn id="6" xr3:uid="{C8A9EB07-9799-4619-812C-321478B692F3}" name="Remarks" dataDxfId="49"/>
    <tableColumn id="7" xr3:uid="{BF54D51D-6854-43B1-9E3F-8002F9E7E5A3}" name="Status" dataDxfId="48"/>
  </tableColumns>
  <tableStyleInfo name="TableStyleMedium2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90404F6-305C-4E2A-A588-3455C1FA5E80}" name="Table14" displayName="Table14" ref="B3:G67" totalsRowShown="0" headerRowDxfId="47" dataDxfId="46">
  <autoFilter ref="B3:G67" xr:uid="{CDF0AE0C-E17C-4E17-8FCB-A56C6DF70B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BCBAE7C5-35DC-4E51-831F-A8F417ABAB7B}" name="#" dataDxfId="45"/>
    <tableColumn id="2" xr3:uid="{48C3C4EC-ACD8-46C7-BBC8-44CAA8966CC5}" name="Domain" dataDxfId="44"/>
    <tableColumn id="3" xr3:uid="{BFCAB059-6777-49CE-8818-7A72FFF93226}" name="Task" dataDxfId="43"/>
    <tableColumn id="4" xr3:uid="{56B40B93-D11C-491E-BE94-D1EEB5DB7C1A}" name="Verb" dataDxfId="42"/>
    <tableColumn id="5" xr3:uid="{C6C912BE-F990-4071-A943-CBD5B84A3C40}" name="Object" dataDxfId="41"/>
    <tableColumn id="6" xr3:uid="{8C12891B-531D-4D57-827A-993D54CFB5A1}" name="Status" dataDxfId="40"/>
  </tableColumns>
  <tableStyleInfo name="TableStyleLight15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2C3C32-9484-49A7-8BC9-04ED541F2076}" name="Table15" displayName="Table15" ref="B3:E5" totalsRowShown="0" headerRowDxfId="39" dataDxfId="38">
  <autoFilter ref="B3:E5" xr:uid="{553E8171-45FB-4C46-A307-9562A2BEB571}"/>
  <tableColumns count="4">
    <tableColumn id="1" xr3:uid="{E150B854-790D-4AD3-8446-B04BA0E3F963}" name="#" dataDxfId="37"/>
    <tableColumn id="2" xr3:uid="{A51B4EC1-E1AB-4C6E-861F-E6C33070E737}" name="Tool" dataDxfId="36"/>
    <tableColumn id="3" xr3:uid="{9FF351E8-799B-4E05-83CB-1F335C37AA5F}" name="Cost" dataDxfId="35"/>
    <tableColumn id="4" xr3:uid="{B4C22666-E478-4C3F-BF9B-97CBA0B8ABAE}" name="Remarks" dataDxfId="34"/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F5323AA-D2D8-4ACE-8E9D-F3B230D040AA}" name="Table13" displayName="Table13" ref="B3:E6" totalsRowShown="0" headerRowDxfId="33" dataDxfId="32">
  <autoFilter ref="B3:E6" xr:uid="{C81F9F32-ED20-4AD4-8F2A-F8969053D417}"/>
  <tableColumns count="4">
    <tableColumn id="1" xr3:uid="{0EFF5318-FF3B-4247-BACF-5A93D1DFC8C6}" name="#" dataDxfId="31"/>
    <tableColumn id="2" xr3:uid="{CFD9E4CA-63BB-41A4-8E17-7B8C1E0AEA54}" name="Domain" dataDxfId="30"/>
    <tableColumn id="3" xr3:uid="{6D069CB3-B580-4547-A7FF-20798F22FFC0}" name="Problem" dataDxfId="29"/>
    <tableColumn id="4" xr3:uid="{87A956BB-50DD-452B-BB64-E05203970638}" name="Next time!" dataDxfId="28"/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9E07EA-C71C-468D-B948-A77B0655B334}" name="Table9" displayName="Table9" ref="B3:G9" totalsRowShown="0" headerRowDxfId="27" dataDxfId="26">
  <autoFilter ref="B3:G9" xr:uid="{F7A9DB5F-3F89-4AAD-B4BC-614050F7953B}"/>
  <tableColumns count="6">
    <tableColumn id="1" xr3:uid="{072F91E0-FBCC-45B6-A9CB-7250466B366B}" name="#" dataDxfId="25"/>
    <tableColumn id="2" xr3:uid="{486C12C9-2995-4AA6-A40D-DDB7ADE2B399}" name="Dimension" dataDxfId="24"/>
    <tableColumn id="3" xr3:uid="{406D509D-25BC-4564-9C3A-E4BF6A2A2B33}" name="Unit" dataDxfId="23"/>
    <tableColumn id="4" xr3:uid="{AD856A4A-38B3-42DE-9707-9BF98C9C1823}" name="NAVIO2" dataDxfId="22"/>
    <tableColumn id="5" xr3:uid="{FE1D9989-AA94-4F24-B054-701FD14CA770}" name="pixhawk" dataDxfId="21"/>
    <tableColumn id="6" xr3:uid="{1B1FFE8E-BAE1-4A25-BE3B-CCE47D8E9678}" name="Remarks" dataDxfId="20"/>
  </tableColumns>
  <tableStyleInfo name="TableStyleMedium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5E721C2-248A-44D7-B984-3F4471DC8A25}" name="Table10" displayName="Table10" ref="B3:D8" totalsRowShown="0" headerRowDxfId="19" dataDxfId="18">
  <autoFilter ref="B3:D8" xr:uid="{13A90FDE-DEA5-40B1-93A1-8F4D9A625DF9}"/>
  <tableColumns count="3">
    <tableColumn id="1" xr3:uid="{790D7CE1-5E64-44D5-944A-D757C1E17DBE}" name="#" dataDxfId="17"/>
    <tableColumn id="2" xr3:uid="{F619DD26-683C-4CC8-945C-2989D3A08A22}" name="Step" dataDxfId="16"/>
    <tableColumn id="3" xr3:uid="{D91F1AF6-6583-41F4-BCA6-655AE1537C43}" name="Remarks" dataDxfId="15"/>
  </tableColumns>
  <tableStyleInfo name="TableStyleLight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836D836-66D7-47A0-9EFC-66F0D2A2A721}" name="Table12" displayName="Table12" ref="B4:F7" totalsRowShown="0" headerRowDxfId="14" dataDxfId="13">
  <autoFilter ref="B4:F7" xr:uid="{0CCE709F-12CA-4816-801E-89C6A1CD8E4F}"/>
  <tableColumns count="5">
    <tableColumn id="1" xr3:uid="{6305F4E8-D162-4C62-879F-06542412EA0B}" name="#" dataDxfId="12"/>
    <tableColumn id="2" xr3:uid="{77C5CA91-C5CF-461C-B085-32F04C89C719}" name="Short summary" dataDxfId="11"/>
    <tableColumn id="3" xr3:uid="{0FC19F5B-8C96-4900-9CB1-1E557A18B2A3}" name="Aggravator" dataDxfId="10"/>
    <tableColumn id="4" xr3:uid="{F2935712-3C70-49AA-A009-C06031C70983}" name="Remedy" dataDxfId="9"/>
    <tableColumn id="5" xr3:uid="{0EA27B08-713E-4FCB-A9CD-B0B385E4C84A}" name="Keyword" dataDxfId="8"/>
  </tableColumns>
  <tableStyleInfo name="TableStyleMedium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B66F3D8-6CDF-4A24-BDB0-02F9448D6921}" name="Weight" displayName="Weight" ref="B3:G15" totalsRowShown="0" headerRowDxfId="7" dataDxfId="6">
  <autoFilter ref="B3:G15" xr:uid="{E08A57FB-D4B5-429D-9687-C8CAD75EBC52}"/>
  <tableColumns count="6">
    <tableColumn id="1" xr3:uid="{D45F8D98-A1C2-4A47-82E4-ECE2D9A2A13D}" name="#" dataDxfId="5"/>
    <tableColumn id="2" xr3:uid="{F0CD3DAC-5E29-4864-89D1-BC4D4CEE2162}" name="Part" dataDxfId="4"/>
    <tableColumn id="3" xr3:uid="{FB9068EE-0313-4C5E-BE7D-846FD8583F9F}" name="Weight" dataDxfId="3"/>
    <tableColumn id="4" xr3:uid="{11E63FBC-2058-4A25-BDB9-C4D8DFFA482E}" name="# of" dataDxfId="2"/>
    <tableColumn id="5" xr3:uid="{003A77F2-5408-45F4-B5FB-C6CE54E1C88F}" name="Total Weight" dataDxfId="1">
      <calculatedColumnFormula>Weight[[#This Row],[Weight]]*Weight[[#This Row],['# of]]</calculatedColumnFormula>
    </tableColumn>
    <tableColumn id="6" xr3:uid="{CF906EAB-C33D-450F-9998-F77E2017F81E}" name="Remarks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hyperlink" Target="https://www.youtube.com/watch?v=WMhJEWWKCBElearned%20about%20inuctrix%20FPV%20-%20which%20is%20Smartphone%20compatible" TargetMode="External"/><Relationship Id="rId1" Type="http://schemas.openxmlformats.org/officeDocument/2006/relationships/hyperlink" Target="https://www.youtube.com/watch?v=OZNxbxL7cdc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amzn.to/2kSlzHe" TargetMode="External"/><Relationship Id="rId13" Type="http://schemas.openxmlformats.org/officeDocument/2006/relationships/hyperlink" Target="https://amzn.to/2n09yQQ" TargetMode="External"/><Relationship Id="rId18" Type="http://schemas.openxmlformats.org/officeDocument/2006/relationships/hyperlink" Target="https://amzn.to/2lveUTA" TargetMode="External"/><Relationship Id="rId3" Type="http://schemas.openxmlformats.org/officeDocument/2006/relationships/hyperlink" Target="https://amzn.to/2kTweBt" TargetMode="External"/><Relationship Id="rId21" Type="http://schemas.openxmlformats.org/officeDocument/2006/relationships/table" Target="../tables/table8.xml"/><Relationship Id="rId7" Type="http://schemas.openxmlformats.org/officeDocument/2006/relationships/hyperlink" Target="https://amzn.to/2my3w9C" TargetMode="External"/><Relationship Id="rId12" Type="http://schemas.openxmlformats.org/officeDocument/2006/relationships/hyperlink" Target="https://amzn.to/2lvcJiS" TargetMode="External"/><Relationship Id="rId17" Type="http://schemas.openxmlformats.org/officeDocument/2006/relationships/hyperlink" Target="https://amzn.to/2mSsdxM" TargetMode="External"/><Relationship Id="rId2" Type="http://schemas.openxmlformats.org/officeDocument/2006/relationships/hyperlink" Target="https://store.emlid.com/product/navio2/?wpam_id=3" TargetMode="External"/><Relationship Id="rId16" Type="http://schemas.openxmlformats.org/officeDocument/2006/relationships/hyperlink" Target="https://amzn.to/2lsloTe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amzn.to/2mrd72g" TargetMode="External"/><Relationship Id="rId6" Type="http://schemas.openxmlformats.org/officeDocument/2006/relationships/hyperlink" Target="https://amzn.to/2mSmNCW" TargetMode="External"/><Relationship Id="rId11" Type="http://schemas.openxmlformats.org/officeDocument/2006/relationships/hyperlink" Target="https://amzn.to/2n1hjWR" TargetMode="External"/><Relationship Id="rId5" Type="http://schemas.openxmlformats.org/officeDocument/2006/relationships/hyperlink" Target="https://amzn.to/2n05Zdq" TargetMode="External"/><Relationship Id="rId15" Type="http://schemas.openxmlformats.org/officeDocument/2006/relationships/hyperlink" Target="https://amzn.to/2luGOiz" TargetMode="External"/><Relationship Id="rId10" Type="http://schemas.openxmlformats.org/officeDocument/2006/relationships/hyperlink" Target="https://amzn.to/2myfH6l" TargetMode="External"/><Relationship Id="rId19" Type="http://schemas.openxmlformats.org/officeDocument/2006/relationships/hyperlink" Target="https://amzn.to/2n0a3KI" TargetMode="External"/><Relationship Id="rId4" Type="http://schemas.openxmlformats.org/officeDocument/2006/relationships/hyperlink" Target="https://amzn.to/2ltKilA" TargetMode="External"/><Relationship Id="rId9" Type="http://schemas.openxmlformats.org/officeDocument/2006/relationships/hyperlink" Target="https://amzn.to/2kXA1hi" TargetMode="External"/><Relationship Id="rId14" Type="http://schemas.openxmlformats.org/officeDocument/2006/relationships/hyperlink" Target="https://amzn.to/2lsRu1i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6BE92-94FF-4E9D-A31E-E656B334CABC}">
  <sheetPr codeName="Sheet1"/>
  <dimension ref="C4:K14"/>
  <sheetViews>
    <sheetView tabSelected="1" workbookViewId="0">
      <selection activeCell="E12" sqref="E12"/>
    </sheetView>
  </sheetViews>
  <sheetFormatPr defaultRowHeight="18.75" x14ac:dyDescent="0.3"/>
  <cols>
    <col min="1" max="1" width="8.85546875" style="1" customWidth="1"/>
    <col min="2" max="2" width="9.140625" style="1"/>
    <col min="3" max="3" width="16.7109375" style="1" customWidth="1"/>
    <col min="4" max="4" width="3.28515625" style="1" customWidth="1"/>
    <col min="5" max="5" width="12.85546875" style="1" bestFit="1" customWidth="1"/>
    <col min="6" max="6" width="9.140625" style="1"/>
    <col min="7" max="7" width="9.28515625" style="1" bestFit="1" customWidth="1"/>
    <col min="8" max="8" width="9.140625" style="1"/>
    <col min="9" max="9" width="9.7109375" style="1" bestFit="1" customWidth="1"/>
    <col min="10" max="10" width="9.140625" style="1"/>
    <col min="11" max="11" width="10" style="1" bestFit="1" customWidth="1"/>
    <col min="12" max="16384" width="9.140625" style="1"/>
  </cols>
  <sheetData>
    <row r="4" spans="3:11" x14ac:dyDescent="0.3">
      <c r="C4" s="1" t="s">
        <v>0</v>
      </c>
      <c r="E4" s="1" t="s">
        <v>1</v>
      </c>
      <c r="G4" s="1" t="s">
        <v>2</v>
      </c>
      <c r="I4" s="1" t="s">
        <v>3</v>
      </c>
      <c r="K4" s="1" t="s">
        <v>4</v>
      </c>
    </row>
    <row r="6" spans="3:11" x14ac:dyDescent="0.3">
      <c r="C6" s="1" t="s">
        <v>5</v>
      </c>
      <c r="E6" s="1" t="s">
        <v>6</v>
      </c>
      <c r="G6" s="1" t="s">
        <v>7</v>
      </c>
      <c r="I6" s="1" t="s">
        <v>8</v>
      </c>
      <c r="K6" s="1" t="s">
        <v>9</v>
      </c>
    </row>
    <row r="8" spans="3:11" x14ac:dyDescent="0.3">
      <c r="E8" s="1" t="s">
        <v>10</v>
      </c>
      <c r="G8" s="1" t="s">
        <v>11</v>
      </c>
      <c r="I8" s="1" t="s">
        <v>28</v>
      </c>
      <c r="K8" s="1" t="s">
        <v>36</v>
      </c>
    </row>
    <row r="10" spans="3:11" x14ac:dyDescent="0.3">
      <c r="G10" s="1" t="s">
        <v>45</v>
      </c>
      <c r="I10" s="1" t="s">
        <v>53</v>
      </c>
      <c r="K10" s="1" t="s">
        <v>76</v>
      </c>
    </row>
    <row r="12" spans="3:11" x14ac:dyDescent="0.3">
      <c r="C12" s="1" t="s">
        <v>223</v>
      </c>
      <c r="E12" s="1" t="s">
        <v>221</v>
      </c>
      <c r="G12" s="1" t="s">
        <v>222</v>
      </c>
      <c r="I12" s="1" t="s">
        <v>249</v>
      </c>
      <c r="K12" s="1" t="s">
        <v>246</v>
      </c>
    </row>
    <row r="14" spans="3:11" x14ac:dyDescent="0.3">
      <c r="G14" s="1" t="s">
        <v>384</v>
      </c>
      <c r="I14" s="1" t="s">
        <v>275</v>
      </c>
    </row>
  </sheetData>
  <hyperlinks>
    <hyperlink ref="G8" location="BOM!A1" display="BOM" xr:uid="{E1FBD431-5EDB-41C4-833F-2B2DA78069E0}"/>
    <hyperlink ref="I8" location="'E-Stop'!A1" display="E-Stop" xr:uid="{9D3D4AA8-5E23-464C-9B41-CCA611665F29}"/>
    <hyperlink ref="K8" location="FPV!A1" display="FPV" xr:uid="{E5AAA1BA-5454-4D76-B2F3-54FA8371952D}"/>
    <hyperlink ref="G10" location="FAQ!A1" display="FAQ" xr:uid="{070526A8-9786-494C-8562-202C5C1750EA}"/>
    <hyperlink ref="I10" location="Resources!A1" display="Resources" xr:uid="{3036F014-BE09-4497-BED0-BEE01565F2E9}"/>
    <hyperlink ref="K10" location="Log!A1" display="Log" xr:uid="{746EF448-9889-42EB-90AC-05286110E17D}"/>
    <hyperlink ref="C12" location="'Design Process'!A1" display="Design Process" xr:uid="{404065B9-D1EB-40D9-8467-AF6075BC9A0E}"/>
    <hyperlink ref="K12" location="Steps!A1" display="Steps" xr:uid="{60BAEFFB-6F5E-4E9A-9C6D-A3CDEDA743BD}"/>
    <hyperlink ref="I12" location="'Caleb BOM'!A1" display="Caleb BOM" xr:uid="{A7B74E72-D52C-418D-8D1A-0B745D18AED9}"/>
    <hyperlink ref="G12" location="'Weight Est'!A1" display="Wt Estimate" xr:uid="{91F7613B-E294-4D83-B540-BE23E0D768BC}"/>
    <hyperlink ref="E12" location="Issues!A1" display="Issues" xr:uid="{03A0913B-FD1A-4F9C-A0A4-698E09E64C1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5D64-F2DA-48C9-A57B-0E3CD93FAA1C}">
  <sheetPr codeName="Sheet2"/>
  <dimension ref="A1"/>
  <sheetViews>
    <sheetView workbookViewId="0">
      <selection activeCell="D39" sqref="D3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45C0E-A13A-4FE1-9953-4168A9D5C9EB}">
  <sheetPr codeName="Sheet3"/>
  <dimension ref="B3:L15"/>
  <sheetViews>
    <sheetView workbookViewId="0"/>
  </sheetViews>
  <sheetFormatPr defaultRowHeight="15" x14ac:dyDescent="0.25"/>
  <cols>
    <col min="1" max="2" width="4.42578125" style="2" customWidth="1"/>
    <col min="3" max="3" width="26.140625" style="2" customWidth="1"/>
    <col min="4" max="4" width="10" style="2" customWidth="1"/>
    <col min="5" max="5" width="11.140625" style="2" customWidth="1"/>
    <col min="6" max="6" width="11.85546875" style="2" customWidth="1"/>
    <col min="7" max="7" width="13.7109375" style="2" customWidth="1"/>
    <col min="8" max="8" width="14.42578125" style="2" customWidth="1"/>
    <col min="9" max="9" width="36" style="2" customWidth="1"/>
    <col min="10" max="10" width="43.28515625" style="2" customWidth="1"/>
    <col min="11" max="11" width="42.28515625" style="2" customWidth="1"/>
    <col min="12" max="12" width="41.140625" style="2" customWidth="1"/>
    <col min="13" max="16384" width="9.140625" style="2"/>
  </cols>
  <sheetData>
    <row r="3" spans="2:12" x14ac:dyDescent="0.25">
      <c r="B3" s="2" t="s">
        <v>14</v>
      </c>
      <c r="C3" s="2" t="s">
        <v>13</v>
      </c>
      <c r="D3" s="2" t="s">
        <v>12</v>
      </c>
      <c r="E3" s="2" t="s">
        <v>15</v>
      </c>
      <c r="F3" s="2" t="s">
        <v>16</v>
      </c>
      <c r="G3" s="2" t="s">
        <v>17</v>
      </c>
      <c r="H3" s="2" t="s">
        <v>18</v>
      </c>
      <c r="I3" s="2" t="s">
        <v>22</v>
      </c>
      <c r="J3" s="2" t="s">
        <v>19</v>
      </c>
      <c r="K3" s="2" t="s">
        <v>20</v>
      </c>
      <c r="L3" s="2" t="s">
        <v>21</v>
      </c>
    </row>
    <row r="4" spans="2:12" x14ac:dyDescent="0.25">
      <c r="B4" s="2">
        <v>1</v>
      </c>
      <c r="C4" s="2" t="s">
        <v>3</v>
      </c>
      <c r="D4" s="2">
        <v>1</v>
      </c>
    </row>
    <row r="5" spans="2:12" x14ac:dyDescent="0.25">
      <c r="B5" s="2">
        <v>2</v>
      </c>
      <c r="C5" s="2" t="s">
        <v>1</v>
      </c>
      <c r="D5" s="2">
        <v>4</v>
      </c>
    </row>
    <row r="6" spans="2:12" x14ac:dyDescent="0.25">
      <c r="B6" s="2">
        <v>3</v>
      </c>
      <c r="C6" s="2" t="s">
        <v>23</v>
      </c>
      <c r="D6" s="2">
        <v>4</v>
      </c>
    </row>
    <row r="7" spans="2:12" x14ac:dyDescent="0.25">
      <c r="B7" s="2">
        <v>4</v>
      </c>
      <c r="C7" s="2" t="s">
        <v>24</v>
      </c>
      <c r="D7" s="2">
        <v>4</v>
      </c>
    </row>
    <row r="8" spans="2:12" ht="30" x14ac:dyDescent="0.25">
      <c r="B8" s="2">
        <v>5</v>
      </c>
      <c r="C8" s="2" t="s">
        <v>2</v>
      </c>
      <c r="D8" s="2">
        <v>1</v>
      </c>
      <c r="I8" s="2" t="s">
        <v>25</v>
      </c>
    </row>
    <row r="9" spans="2:12" x14ac:dyDescent="0.25">
      <c r="B9" s="2">
        <v>6</v>
      </c>
      <c r="C9" s="2" t="s">
        <v>7</v>
      </c>
      <c r="D9" s="2">
        <v>1</v>
      </c>
    </row>
    <row r="10" spans="2:12" x14ac:dyDescent="0.25">
      <c r="B10" s="2">
        <v>7</v>
      </c>
      <c r="C10" s="2" t="s">
        <v>8</v>
      </c>
      <c r="D10" s="2">
        <v>1</v>
      </c>
    </row>
    <row r="13" spans="2:12" x14ac:dyDescent="0.25">
      <c r="B13" s="2" t="s">
        <v>14</v>
      </c>
      <c r="C13" s="2" t="s">
        <v>13</v>
      </c>
      <c r="D13" s="2" t="s">
        <v>12</v>
      </c>
      <c r="E13" s="2" t="s">
        <v>15</v>
      </c>
      <c r="F13" s="2" t="s">
        <v>16</v>
      </c>
      <c r="G13" s="2" t="s">
        <v>17</v>
      </c>
      <c r="H13" s="2" t="s">
        <v>18</v>
      </c>
      <c r="I13" s="2" t="s">
        <v>22</v>
      </c>
      <c r="J13" s="2" t="s">
        <v>19</v>
      </c>
      <c r="K13" s="2" t="s">
        <v>20</v>
      </c>
      <c r="L13" s="2" t="s">
        <v>21</v>
      </c>
    </row>
    <row r="14" spans="2:12" x14ac:dyDescent="0.25">
      <c r="C14" s="2" t="s">
        <v>26</v>
      </c>
      <c r="D14" s="2">
        <v>1</v>
      </c>
    </row>
    <row r="15" spans="2:12" x14ac:dyDescent="0.25">
      <c r="C15" s="2" t="s">
        <v>27</v>
      </c>
      <c r="D15" s="2">
        <v>1</v>
      </c>
      <c r="J15" s="2" t="s">
        <v>74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27EB9-35F6-4EEB-8667-D864DD21C1A6}">
  <sheetPr codeName="Sheet4"/>
  <dimension ref="B3:F18"/>
  <sheetViews>
    <sheetView workbookViewId="0">
      <selection activeCell="D21" sqref="D21"/>
    </sheetView>
  </sheetViews>
  <sheetFormatPr defaultRowHeight="15" x14ac:dyDescent="0.25"/>
  <cols>
    <col min="1" max="1" width="6" style="6" customWidth="1"/>
    <col min="2" max="2" width="6.140625" style="6" customWidth="1"/>
    <col min="3" max="3" width="13.7109375" style="6" customWidth="1"/>
    <col min="4" max="4" width="49.28515625" style="6" customWidth="1"/>
    <col min="5" max="5" width="47.5703125" style="6" customWidth="1"/>
    <col min="6" max="6" width="55.85546875" style="6" customWidth="1"/>
    <col min="7" max="16384" width="9.140625" style="6"/>
  </cols>
  <sheetData>
    <row r="3" spans="2:6" s="4" customFormat="1" x14ac:dyDescent="0.25">
      <c r="B3" s="3" t="s">
        <v>14</v>
      </c>
      <c r="C3" s="3" t="s">
        <v>29</v>
      </c>
      <c r="D3" s="3" t="s">
        <v>30</v>
      </c>
      <c r="E3" s="3" t="s">
        <v>31</v>
      </c>
      <c r="F3" s="3" t="s">
        <v>32</v>
      </c>
    </row>
    <row r="4" spans="2:6" x14ac:dyDescent="0.25">
      <c r="B4" s="5"/>
      <c r="C4" s="5"/>
      <c r="D4" s="5"/>
      <c r="E4" s="5"/>
      <c r="F4" s="5"/>
    </row>
    <row r="5" spans="2:6" x14ac:dyDescent="0.25">
      <c r="B5" s="5"/>
      <c r="C5" s="5"/>
      <c r="D5" s="5"/>
      <c r="E5" s="5"/>
      <c r="F5" s="5"/>
    </row>
    <row r="6" spans="2:6" x14ac:dyDescent="0.25">
      <c r="B6" s="5"/>
      <c r="C6" s="5"/>
      <c r="D6" s="5"/>
      <c r="E6" s="5"/>
      <c r="F6" s="5"/>
    </row>
    <row r="7" spans="2:6" x14ac:dyDescent="0.25">
      <c r="B7" s="5"/>
      <c r="C7" s="5"/>
      <c r="D7" s="5"/>
      <c r="E7" s="5"/>
      <c r="F7" s="5"/>
    </row>
    <row r="8" spans="2:6" x14ac:dyDescent="0.25">
      <c r="B8" s="5"/>
      <c r="C8" s="5"/>
      <c r="D8" s="5"/>
      <c r="E8" s="5"/>
      <c r="F8" s="5"/>
    </row>
    <row r="9" spans="2:6" x14ac:dyDescent="0.25">
      <c r="B9" s="5"/>
      <c r="C9" s="5"/>
      <c r="D9" s="5"/>
      <c r="E9" s="5"/>
      <c r="F9" s="5"/>
    </row>
    <row r="10" spans="2:6" x14ac:dyDescent="0.25">
      <c r="B10" s="5"/>
      <c r="C10" s="5"/>
      <c r="D10" s="5"/>
      <c r="E10" s="5"/>
      <c r="F10" s="5"/>
    </row>
    <row r="11" spans="2:6" x14ac:dyDescent="0.25">
      <c r="B11" s="5"/>
      <c r="C11" s="5"/>
      <c r="D11" s="5"/>
      <c r="E11" s="5"/>
      <c r="F11" s="5"/>
    </row>
    <row r="12" spans="2:6" x14ac:dyDescent="0.25">
      <c r="B12" s="5"/>
      <c r="C12" s="5"/>
      <c r="D12" s="5"/>
      <c r="E12" s="5"/>
      <c r="F12" s="5"/>
    </row>
    <row r="13" spans="2:6" x14ac:dyDescent="0.25">
      <c r="B13" s="5"/>
      <c r="C13" s="5"/>
      <c r="D13" s="5"/>
      <c r="E13" s="5"/>
      <c r="F13" s="5"/>
    </row>
    <row r="14" spans="2:6" x14ac:dyDescent="0.25">
      <c r="B14" s="5"/>
      <c r="C14" s="5"/>
      <c r="D14" s="5"/>
      <c r="E14" s="5"/>
      <c r="F14" s="5"/>
    </row>
    <row r="15" spans="2:6" ht="30" x14ac:dyDescent="0.25">
      <c r="B15" s="5">
        <v>3</v>
      </c>
      <c r="C15" s="7">
        <v>43680</v>
      </c>
      <c r="D15" s="5" t="s">
        <v>35</v>
      </c>
      <c r="E15" s="5"/>
      <c r="F15" s="5"/>
    </row>
    <row r="16" spans="2:6" ht="30" x14ac:dyDescent="0.25">
      <c r="B16" s="5">
        <v>2</v>
      </c>
      <c r="C16" s="7">
        <v>43680</v>
      </c>
      <c r="D16" s="5" t="s">
        <v>33</v>
      </c>
      <c r="E16" s="5" t="s">
        <v>34</v>
      </c>
      <c r="F16" s="5"/>
    </row>
    <row r="17" spans="2:6" ht="45" x14ac:dyDescent="0.25">
      <c r="B17" s="5">
        <v>1</v>
      </c>
      <c r="C17" s="7">
        <v>43680</v>
      </c>
      <c r="D17" s="5" t="s">
        <v>52</v>
      </c>
      <c r="E17" s="5"/>
      <c r="F17" s="5"/>
    </row>
    <row r="18" spans="2:6" x14ac:dyDescent="0.25">
      <c r="B18" s="5"/>
      <c r="C18" s="5"/>
      <c r="D18" s="5"/>
      <c r="E18" s="5"/>
      <c r="F18" s="5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32B25-FDCF-4FE6-A6FF-98DC79C3A133}">
  <sheetPr codeName="Sheet5"/>
  <dimension ref="B3:T13"/>
  <sheetViews>
    <sheetView zoomScaleNormal="100" workbookViewId="0">
      <selection activeCell="D33" sqref="D33"/>
    </sheetView>
  </sheetViews>
  <sheetFormatPr defaultRowHeight="15" x14ac:dyDescent="0.25"/>
  <cols>
    <col min="1" max="1" width="3.42578125" style="2" customWidth="1"/>
    <col min="2" max="2" width="6.140625" style="2" customWidth="1"/>
    <col min="3" max="3" width="45.5703125" style="2" customWidth="1"/>
    <col min="4" max="4" width="10.7109375" style="2" customWidth="1"/>
    <col min="5" max="5" width="11.5703125" style="2" customWidth="1"/>
    <col min="6" max="6" width="12.5703125" style="2" customWidth="1"/>
    <col min="7" max="7" width="45.85546875" style="2" customWidth="1"/>
    <col min="8" max="8" width="49" style="2" customWidth="1"/>
    <col min="9" max="9" width="9.140625" style="2"/>
    <col min="10" max="20" width="9.140625" style="8"/>
    <col min="21" max="16384" width="9.140625" style="2"/>
  </cols>
  <sheetData>
    <row r="3" spans="2:8" x14ac:dyDescent="0.25">
      <c r="B3" s="2" t="s">
        <v>14</v>
      </c>
      <c r="C3" s="2" t="s">
        <v>37</v>
      </c>
      <c r="D3" s="2" t="s">
        <v>43</v>
      </c>
      <c r="E3" s="2" t="s">
        <v>38</v>
      </c>
      <c r="F3" s="2" t="s">
        <v>39</v>
      </c>
      <c r="G3" s="2" t="s">
        <v>40</v>
      </c>
      <c r="H3" s="2" t="s">
        <v>32</v>
      </c>
    </row>
    <row r="13" spans="2:8" x14ac:dyDescent="0.25">
      <c r="B13" s="2">
        <v>1</v>
      </c>
      <c r="C13" s="2" t="s">
        <v>41</v>
      </c>
      <c r="D13" s="2">
        <v>720</v>
      </c>
      <c r="E13" s="2">
        <v>929</v>
      </c>
      <c r="G13" s="2" t="s">
        <v>42</v>
      </c>
      <c r="H13" s="2" t="s">
        <v>44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AE78B-7750-4E11-B1A8-75D86BDE3216}">
  <sheetPr codeName="Sheet6"/>
  <dimension ref="B3:U23"/>
  <sheetViews>
    <sheetView zoomScaleNormal="100" workbookViewId="0">
      <selection activeCell="E28" sqref="E28"/>
    </sheetView>
  </sheetViews>
  <sheetFormatPr defaultRowHeight="15" x14ac:dyDescent="0.25"/>
  <cols>
    <col min="1" max="1" width="4.42578125" style="2" customWidth="1"/>
    <col min="2" max="2" width="6" style="2" customWidth="1"/>
    <col min="3" max="3" width="11.7109375" style="2" customWidth="1"/>
    <col min="4" max="4" width="11" style="2" bestFit="1" customWidth="1"/>
    <col min="5" max="5" width="56.140625" style="2" customWidth="1"/>
    <col min="6" max="6" width="55.7109375" style="2" customWidth="1"/>
    <col min="7" max="7" width="58.28515625" style="2" customWidth="1"/>
    <col min="8" max="8" width="9.140625" style="2"/>
    <col min="9" max="9" width="9.140625" style="10" customWidth="1"/>
    <col min="10" max="21" width="9.140625" style="10"/>
    <col min="22" max="16384" width="9.140625" style="2"/>
  </cols>
  <sheetData>
    <row r="3" spans="2:7" x14ac:dyDescent="0.25">
      <c r="B3" s="2" t="s">
        <v>14</v>
      </c>
      <c r="C3" s="2" t="s">
        <v>29</v>
      </c>
      <c r="D3" s="2" t="s">
        <v>233</v>
      </c>
      <c r="E3" s="2" t="s">
        <v>30</v>
      </c>
      <c r="F3" s="2" t="s">
        <v>31</v>
      </c>
      <c r="G3" s="2" t="s">
        <v>32</v>
      </c>
    </row>
    <row r="4" spans="2:7" x14ac:dyDescent="0.25">
      <c r="B4" s="2">
        <v>20</v>
      </c>
    </row>
    <row r="5" spans="2:7" x14ac:dyDescent="0.25">
      <c r="B5" s="2">
        <v>19</v>
      </c>
    </row>
    <row r="6" spans="2:7" x14ac:dyDescent="0.25">
      <c r="B6" s="2">
        <v>18</v>
      </c>
    </row>
    <row r="7" spans="2:7" x14ac:dyDescent="0.25">
      <c r="B7" s="2">
        <v>17</v>
      </c>
    </row>
    <row r="8" spans="2:7" x14ac:dyDescent="0.25">
      <c r="B8" s="2">
        <v>16</v>
      </c>
    </row>
    <row r="9" spans="2:7" x14ac:dyDescent="0.25">
      <c r="B9" s="2">
        <v>15</v>
      </c>
    </row>
    <row r="10" spans="2:7" x14ac:dyDescent="0.25">
      <c r="B10" s="2">
        <v>14</v>
      </c>
    </row>
    <row r="11" spans="2:7" x14ac:dyDescent="0.25">
      <c r="B11" s="2">
        <v>13</v>
      </c>
    </row>
    <row r="12" spans="2:7" x14ac:dyDescent="0.25">
      <c r="B12" s="2">
        <v>12</v>
      </c>
    </row>
    <row r="13" spans="2:7" x14ac:dyDescent="0.25">
      <c r="B13" s="2">
        <v>11</v>
      </c>
    </row>
    <row r="14" spans="2:7" ht="60" hidden="1" x14ac:dyDescent="0.25">
      <c r="B14" s="2">
        <v>10</v>
      </c>
      <c r="C14" s="9">
        <v>43862</v>
      </c>
      <c r="D14" s="2" t="s">
        <v>245</v>
      </c>
      <c r="E14" s="2" t="s">
        <v>360</v>
      </c>
      <c r="F14" s="2" t="s">
        <v>361</v>
      </c>
    </row>
    <row r="15" spans="2:7" ht="60" hidden="1" x14ac:dyDescent="0.25">
      <c r="B15" s="2">
        <v>9</v>
      </c>
      <c r="C15" s="9">
        <v>43849</v>
      </c>
      <c r="D15" s="2" t="s">
        <v>245</v>
      </c>
      <c r="E15" s="2" t="s">
        <v>250</v>
      </c>
      <c r="F15" s="2" t="s">
        <v>357</v>
      </c>
      <c r="G15" s="2" t="s">
        <v>358</v>
      </c>
    </row>
    <row r="16" spans="2:7" ht="45" hidden="1" x14ac:dyDescent="0.25">
      <c r="B16" s="2">
        <v>8</v>
      </c>
      <c r="C16" s="9">
        <v>43848</v>
      </c>
      <c r="D16" s="2" t="s">
        <v>245</v>
      </c>
      <c r="E16" s="2" t="s">
        <v>248</v>
      </c>
      <c r="F16" s="2" t="s">
        <v>356</v>
      </c>
    </row>
    <row r="17" spans="2:7" ht="60" hidden="1" x14ac:dyDescent="0.25">
      <c r="B17" s="2">
        <v>7</v>
      </c>
      <c r="D17" s="2" t="s">
        <v>245</v>
      </c>
      <c r="E17" s="2" t="s">
        <v>216</v>
      </c>
      <c r="F17" s="2" t="s">
        <v>244</v>
      </c>
    </row>
    <row r="18" spans="2:7" ht="45" hidden="1" x14ac:dyDescent="0.25">
      <c r="B18" s="2">
        <v>6</v>
      </c>
      <c r="D18" s="2" t="s">
        <v>245</v>
      </c>
      <c r="E18" s="2" t="s">
        <v>173</v>
      </c>
      <c r="F18" s="2" t="s">
        <v>359</v>
      </c>
    </row>
    <row r="19" spans="2:7" ht="45" x14ac:dyDescent="0.25">
      <c r="B19" s="2">
        <v>5</v>
      </c>
      <c r="C19" s="9">
        <v>43681</v>
      </c>
      <c r="D19" s="9"/>
      <c r="E19" s="2" t="s">
        <v>75</v>
      </c>
    </row>
    <row r="20" spans="2:7" ht="45" x14ac:dyDescent="0.25">
      <c r="B20" s="2">
        <v>4</v>
      </c>
      <c r="C20" s="9">
        <v>43681</v>
      </c>
      <c r="D20" s="9"/>
      <c r="E20" s="2" t="s">
        <v>51</v>
      </c>
    </row>
    <row r="21" spans="2:7" x14ac:dyDescent="0.25">
      <c r="B21" s="2">
        <v>3</v>
      </c>
      <c r="C21" s="9">
        <v>43670</v>
      </c>
      <c r="D21" s="9"/>
      <c r="E21" s="2" t="s">
        <v>50</v>
      </c>
    </row>
    <row r="22" spans="2:7" x14ac:dyDescent="0.25">
      <c r="B22" s="2">
        <v>2</v>
      </c>
      <c r="C22" s="9">
        <v>43680</v>
      </c>
      <c r="D22" s="9"/>
      <c r="E22" s="2" t="s">
        <v>49</v>
      </c>
    </row>
    <row r="23" spans="2:7" ht="30" x14ac:dyDescent="0.25">
      <c r="B23" s="2">
        <v>1</v>
      </c>
      <c r="C23" s="9">
        <v>43680</v>
      </c>
      <c r="D23" s="9"/>
      <c r="E23" s="2" t="s">
        <v>46</v>
      </c>
      <c r="F23" s="2" t="s">
        <v>47</v>
      </c>
      <c r="G23" s="2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9C62C-7F2D-4D95-B618-273FDC88CBAA}">
  <sheetPr codeName="Sheet7"/>
  <dimension ref="B3:E37"/>
  <sheetViews>
    <sheetView workbookViewId="0">
      <selection activeCell="C32" sqref="C32"/>
    </sheetView>
  </sheetViews>
  <sheetFormatPr defaultRowHeight="15" x14ac:dyDescent="0.25"/>
  <cols>
    <col min="1" max="1" width="4.5703125" style="15" customWidth="1"/>
    <col min="2" max="2" width="9.140625" style="15"/>
    <col min="3" max="3" width="48.140625" style="15" customWidth="1"/>
    <col min="4" max="4" width="73.5703125" style="15" customWidth="1"/>
    <col min="5" max="5" width="54" style="15" customWidth="1"/>
    <col min="6" max="16384" width="9.140625" style="15"/>
  </cols>
  <sheetData>
    <row r="3" spans="2:5" x14ac:dyDescent="0.25">
      <c r="B3" s="15" t="s">
        <v>14</v>
      </c>
      <c r="C3" s="15" t="s">
        <v>91</v>
      </c>
      <c r="D3" s="15" t="s">
        <v>92</v>
      </c>
      <c r="E3" s="15" t="s">
        <v>32</v>
      </c>
    </row>
    <row r="4" spans="2:5" x14ac:dyDescent="0.25">
      <c r="C4" s="15" t="s">
        <v>1</v>
      </c>
    </row>
    <row r="5" spans="2:5" x14ac:dyDescent="0.25">
      <c r="C5" s="15" t="s">
        <v>93</v>
      </c>
    </row>
    <row r="6" spans="2:5" x14ac:dyDescent="0.25">
      <c r="C6" s="15" t="s">
        <v>94</v>
      </c>
    </row>
    <row r="7" spans="2:5" x14ac:dyDescent="0.25">
      <c r="C7" s="15" t="s">
        <v>104</v>
      </c>
    </row>
    <row r="8" spans="2:5" x14ac:dyDescent="0.25">
      <c r="C8" s="15" t="s">
        <v>95</v>
      </c>
    </row>
    <row r="9" spans="2:5" x14ac:dyDescent="0.25">
      <c r="C9" s="15" t="s">
        <v>23</v>
      </c>
    </row>
    <row r="10" spans="2:5" x14ac:dyDescent="0.25">
      <c r="C10" s="15" t="s">
        <v>96</v>
      </c>
    </row>
    <row r="11" spans="2:5" x14ac:dyDescent="0.25">
      <c r="C11" s="15" t="s">
        <v>97</v>
      </c>
    </row>
    <row r="12" spans="2:5" x14ac:dyDescent="0.25">
      <c r="C12" s="15" t="s">
        <v>98</v>
      </c>
    </row>
    <row r="14" spans="2:5" x14ac:dyDescent="0.25">
      <c r="C14" s="15" t="s">
        <v>99</v>
      </c>
    </row>
    <row r="15" spans="2:5" x14ac:dyDescent="0.25">
      <c r="C15" s="15" t="s">
        <v>100</v>
      </c>
    </row>
    <row r="16" spans="2:5" x14ac:dyDescent="0.25">
      <c r="C16" s="15" t="s">
        <v>101</v>
      </c>
    </row>
    <row r="17" spans="3:3" x14ac:dyDescent="0.25">
      <c r="C17" s="15" t="s">
        <v>102</v>
      </c>
    </row>
    <row r="18" spans="3:3" x14ac:dyDescent="0.25">
      <c r="C18" s="15" t="s">
        <v>103</v>
      </c>
    </row>
    <row r="20" spans="3:3" x14ac:dyDescent="0.25">
      <c r="C20" s="15" t="s">
        <v>105</v>
      </c>
    </row>
    <row r="21" spans="3:3" x14ac:dyDescent="0.25">
      <c r="C21" s="15" t="s">
        <v>106</v>
      </c>
    </row>
    <row r="22" spans="3:3" x14ac:dyDescent="0.25">
      <c r="C22" s="15" t="s">
        <v>107</v>
      </c>
    </row>
    <row r="23" spans="3:3" x14ac:dyDescent="0.25">
      <c r="C23" s="15" t="s">
        <v>108</v>
      </c>
    </row>
    <row r="24" spans="3:3" x14ac:dyDescent="0.25">
      <c r="C24" s="15" t="s">
        <v>109</v>
      </c>
    </row>
    <row r="25" spans="3:3" x14ac:dyDescent="0.25">
      <c r="C25" s="15" t="s">
        <v>110</v>
      </c>
    </row>
    <row r="26" spans="3:3" x14ac:dyDescent="0.25">
      <c r="C26" s="15" t="s">
        <v>111</v>
      </c>
    </row>
    <row r="27" spans="3:3" x14ac:dyDescent="0.25">
      <c r="C27" s="15" t="s">
        <v>112</v>
      </c>
    </row>
    <row r="28" spans="3:3" x14ac:dyDescent="0.25">
      <c r="C28" s="15" t="s">
        <v>113</v>
      </c>
    </row>
    <row r="29" spans="3:3" x14ac:dyDescent="0.25">
      <c r="C29" s="15" t="s">
        <v>114</v>
      </c>
    </row>
    <row r="30" spans="3:3" x14ac:dyDescent="0.25">
      <c r="C30" s="15" t="s">
        <v>115</v>
      </c>
    </row>
    <row r="31" spans="3:3" x14ac:dyDescent="0.25">
      <c r="C31" s="15" t="s">
        <v>116</v>
      </c>
    </row>
    <row r="33" spans="3:3" x14ac:dyDescent="0.25">
      <c r="C33" s="15" t="s">
        <v>117</v>
      </c>
    </row>
    <row r="34" spans="3:3" x14ac:dyDescent="0.25">
      <c r="C34" s="15" t="s">
        <v>118</v>
      </c>
    </row>
    <row r="35" spans="3:3" x14ac:dyDescent="0.25">
      <c r="C35" s="15" t="s">
        <v>119</v>
      </c>
    </row>
    <row r="36" spans="3:3" x14ac:dyDescent="0.25">
      <c r="C36" s="15" t="s">
        <v>120</v>
      </c>
    </row>
    <row r="37" spans="3:3" x14ac:dyDescent="0.25">
      <c r="C37" s="15" t="s">
        <v>121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67590-AB90-4B63-853B-CF0318193802}">
  <sheetPr codeName="Sheet8"/>
  <dimension ref="B2:X9"/>
  <sheetViews>
    <sheetView zoomScaleNormal="100" workbookViewId="0">
      <selection activeCell="D20" sqref="D20"/>
    </sheetView>
  </sheetViews>
  <sheetFormatPr defaultRowHeight="15" x14ac:dyDescent="0.25"/>
  <cols>
    <col min="1" max="1" width="3.7109375" style="2" customWidth="1"/>
    <col min="2" max="2" width="5" style="2" customWidth="1"/>
    <col min="3" max="3" width="19.7109375" style="2" customWidth="1"/>
    <col min="4" max="4" width="32.42578125" style="2" customWidth="1"/>
    <col min="5" max="5" width="28.85546875" style="2" customWidth="1"/>
    <col min="6" max="6" width="9.5703125" style="2" customWidth="1"/>
    <col min="7" max="7" width="9.140625" style="2"/>
    <col min="8" max="8" width="56.28515625" style="2" customWidth="1"/>
    <col min="9" max="9" width="9.140625" style="2"/>
    <col min="10" max="24" width="9.140625" style="11"/>
    <col min="25" max="16384" width="9.140625" style="2"/>
  </cols>
  <sheetData>
    <row r="2" spans="2:8" x14ac:dyDescent="0.25">
      <c r="F2" s="2" t="s">
        <v>63</v>
      </c>
      <c r="G2" s="2" t="s">
        <v>64</v>
      </c>
    </row>
    <row r="3" spans="2:8" x14ac:dyDescent="0.25">
      <c r="B3" s="2" t="s">
        <v>14</v>
      </c>
      <c r="C3" s="2" t="s">
        <v>54</v>
      </c>
      <c r="D3" s="2" t="s">
        <v>13</v>
      </c>
      <c r="E3" s="2" t="s">
        <v>55</v>
      </c>
      <c r="F3" s="2" t="s">
        <v>56</v>
      </c>
      <c r="G3" s="2" t="s">
        <v>38</v>
      </c>
      <c r="H3" s="2" t="s">
        <v>32</v>
      </c>
    </row>
    <row r="5" spans="2:8" x14ac:dyDescent="0.25">
      <c r="B5" s="2">
        <v>1</v>
      </c>
      <c r="C5" s="2" t="s">
        <v>57</v>
      </c>
      <c r="D5" s="2" t="s">
        <v>58</v>
      </c>
      <c r="E5" s="2" t="s">
        <v>59</v>
      </c>
      <c r="G5" s="2">
        <v>250</v>
      </c>
    </row>
    <row r="6" spans="2:8" x14ac:dyDescent="0.25">
      <c r="B6" s="2">
        <v>2</v>
      </c>
      <c r="C6" s="2" t="s">
        <v>60</v>
      </c>
      <c r="D6" s="2" t="s">
        <v>61</v>
      </c>
      <c r="E6" s="2" t="s">
        <v>62</v>
      </c>
      <c r="F6" s="2">
        <v>62</v>
      </c>
    </row>
    <row r="7" spans="2:8" x14ac:dyDescent="0.25">
      <c r="B7" s="2">
        <v>3</v>
      </c>
      <c r="C7" s="2" t="s">
        <v>65</v>
      </c>
      <c r="D7" s="2" t="s">
        <v>66</v>
      </c>
      <c r="E7" s="2" t="s">
        <v>67</v>
      </c>
      <c r="H7" s="12" t="s">
        <v>68</v>
      </c>
    </row>
    <row r="8" spans="2:8" x14ac:dyDescent="0.25">
      <c r="B8" s="2">
        <v>4</v>
      </c>
      <c r="C8" s="2" t="s">
        <v>85</v>
      </c>
      <c r="D8" s="2" t="s">
        <v>86</v>
      </c>
      <c r="E8" s="2" t="s">
        <v>87</v>
      </c>
      <c r="G8" s="2">
        <v>29</v>
      </c>
    </row>
    <row r="9" spans="2:8" ht="45" x14ac:dyDescent="0.25">
      <c r="B9" s="2">
        <v>5</v>
      </c>
      <c r="C9" s="2" t="s">
        <v>65</v>
      </c>
      <c r="D9" s="2" t="s">
        <v>88</v>
      </c>
      <c r="E9" s="2" t="s">
        <v>89</v>
      </c>
      <c r="H9" s="14" t="s">
        <v>90</v>
      </c>
    </row>
  </sheetData>
  <hyperlinks>
    <hyperlink ref="H7" r:id="rId1" xr:uid="{4CDB5CD5-4C64-4E1A-AAF7-D6B6011D7A23}"/>
    <hyperlink ref="H9" r:id="rId2" xr:uid="{9168C786-A65E-4BF9-A3C1-BDA0F4753E75}"/>
  </hyperlinks>
  <pageMargins left="0.7" right="0.7" top="0.75" bottom="0.75" header="0.3" footer="0.3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4BC14-7ED5-47A8-A208-B78B52C31495}">
  <sheetPr codeName="Sheet9"/>
  <dimension ref="B3:T8"/>
  <sheetViews>
    <sheetView zoomScaleNormal="100" workbookViewId="0">
      <selection activeCell="D23" sqref="D23"/>
    </sheetView>
  </sheetViews>
  <sheetFormatPr defaultRowHeight="15" x14ac:dyDescent="0.25"/>
  <cols>
    <col min="1" max="1" width="5.42578125" style="2" customWidth="1"/>
    <col min="2" max="2" width="5.5703125" style="2" customWidth="1"/>
    <col min="3" max="3" width="27.5703125" style="2" customWidth="1"/>
    <col min="4" max="4" width="81.7109375" style="2" customWidth="1"/>
    <col min="5" max="5" width="60.7109375" style="2" customWidth="1"/>
    <col min="6" max="6" width="9.140625" style="2"/>
    <col min="7" max="20" width="9.140625" style="13"/>
    <col min="21" max="16384" width="9.140625" style="2"/>
  </cols>
  <sheetData>
    <row r="3" spans="2:5" x14ac:dyDescent="0.25">
      <c r="B3" s="2" t="s">
        <v>14</v>
      </c>
      <c r="C3" s="2" t="s">
        <v>69</v>
      </c>
      <c r="D3" s="2" t="s">
        <v>70</v>
      </c>
      <c r="E3" s="2" t="s">
        <v>32</v>
      </c>
    </row>
    <row r="5" spans="2:5" ht="45" x14ac:dyDescent="0.25">
      <c r="B5" s="2">
        <v>1</v>
      </c>
      <c r="C5" s="2" t="s">
        <v>71</v>
      </c>
      <c r="D5" s="2" t="s">
        <v>72</v>
      </c>
      <c r="E5" s="2" t="s">
        <v>73</v>
      </c>
    </row>
    <row r="6" spans="2:5" x14ac:dyDescent="0.25">
      <c r="B6" s="2">
        <v>2</v>
      </c>
      <c r="C6" s="2" t="s">
        <v>83</v>
      </c>
      <c r="D6" s="2" t="s">
        <v>84</v>
      </c>
    </row>
    <row r="7" spans="2:5" ht="30" x14ac:dyDescent="0.25">
      <c r="C7" s="2" t="s">
        <v>178</v>
      </c>
      <c r="D7" s="2" t="s">
        <v>179</v>
      </c>
      <c r="E7" s="2" t="s">
        <v>180</v>
      </c>
    </row>
    <row r="8" spans="2:5" ht="30" x14ac:dyDescent="0.25">
      <c r="C8" s="2" t="s">
        <v>181</v>
      </c>
      <c r="D8" s="2" t="s">
        <v>182</v>
      </c>
      <c r="E8" s="2" t="s">
        <v>183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56C8F-0311-45CA-BF31-579AAF5C113E}">
  <sheetPr codeName="Sheet10"/>
  <dimension ref="B3:E27"/>
  <sheetViews>
    <sheetView workbookViewId="0">
      <selection activeCell="C23" sqref="C23"/>
    </sheetView>
  </sheetViews>
  <sheetFormatPr defaultRowHeight="15" x14ac:dyDescent="0.25"/>
  <cols>
    <col min="1" max="1" width="4" style="2" customWidth="1"/>
    <col min="2" max="2" width="6.42578125" style="2" customWidth="1"/>
    <col min="3" max="3" width="13.85546875" style="2" customWidth="1"/>
    <col min="4" max="4" width="57.42578125" style="2" customWidth="1"/>
    <col min="5" max="5" width="63.140625" style="2" customWidth="1"/>
    <col min="6" max="16384" width="9.140625" style="2"/>
  </cols>
  <sheetData>
    <row r="3" spans="2:5" x14ac:dyDescent="0.25">
      <c r="B3" s="2" t="s">
        <v>14</v>
      </c>
      <c r="C3" s="2" t="s">
        <v>29</v>
      </c>
      <c r="D3" s="2" t="s">
        <v>77</v>
      </c>
      <c r="E3" s="2" t="s">
        <v>78</v>
      </c>
    </row>
    <row r="22" spans="2:4" x14ac:dyDescent="0.25">
      <c r="C22" s="9">
        <v>43849</v>
      </c>
      <c r="D22" s="2" t="s">
        <v>272</v>
      </c>
    </row>
    <row r="23" spans="2:4" ht="30" x14ac:dyDescent="0.25">
      <c r="C23" s="9">
        <v>43833</v>
      </c>
      <c r="D23" s="2" t="s">
        <v>122</v>
      </c>
    </row>
    <row r="24" spans="2:4" x14ac:dyDescent="0.25">
      <c r="B24" s="2">
        <v>4</v>
      </c>
      <c r="C24" s="9">
        <v>43681</v>
      </c>
      <c r="D24" s="2" t="s">
        <v>82</v>
      </c>
    </row>
    <row r="25" spans="2:4" x14ac:dyDescent="0.25">
      <c r="B25" s="2">
        <v>3</v>
      </c>
      <c r="C25" s="9">
        <v>43680</v>
      </c>
      <c r="D25" s="2" t="s">
        <v>81</v>
      </c>
    </row>
    <row r="26" spans="2:4" ht="30" x14ac:dyDescent="0.25">
      <c r="B26" s="2">
        <v>2</v>
      </c>
      <c r="C26" s="9">
        <v>43680</v>
      </c>
      <c r="D26" s="2" t="s">
        <v>80</v>
      </c>
    </row>
    <row r="27" spans="2:4" x14ac:dyDescent="0.25">
      <c r="B27" s="2">
        <v>1</v>
      </c>
      <c r="C27" s="9">
        <v>43680</v>
      </c>
      <c r="D27" s="2" t="s">
        <v>79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C6E34-F8E7-41D3-A91B-0F5B1733F56E}">
  <sheetPr codeName="Sheet11"/>
  <dimension ref="B3:H22"/>
  <sheetViews>
    <sheetView zoomScale="115" zoomScaleNormal="115" workbookViewId="0">
      <selection activeCell="G28" sqref="G28"/>
    </sheetView>
  </sheetViews>
  <sheetFormatPr defaultRowHeight="15" x14ac:dyDescent="0.25"/>
  <cols>
    <col min="1" max="1" width="4.85546875" style="2" customWidth="1"/>
    <col min="2" max="2" width="6.7109375" style="2" customWidth="1"/>
    <col min="3" max="3" width="17.28515625" style="2" bestFit="1" customWidth="1"/>
    <col min="4" max="4" width="42" style="2" customWidth="1"/>
    <col min="5" max="5" width="9.140625" style="2"/>
    <col min="6" max="6" width="51.5703125" style="2" customWidth="1"/>
    <col min="7" max="7" width="46.140625" style="2" customWidth="1"/>
    <col min="8" max="8" width="11" style="2" bestFit="1" customWidth="1"/>
    <col min="9" max="16384" width="9.140625" style="2"/>
  </cols>
  <sheetData>
    <row r="3" spans="2:8" x14ac:dyDescent="0.25">
      <c r="B3" s="2" t="s">
        <v>14</v>
      </c>
      <c r="C3" s="2" t="s">
        <v>37</v>
      </c>
      <c r="D3" s="2" t="s">
        <v>123</v>
      </c>
      <c r="E3" s="2" t="s">
        <v>124</v>
      </c>
      <c r="F3" s="2" t="s">
        <v>40</v>
      </c>
      <c r="G3" s="2" t="s">
        <v>32</v>
      </c>
      <c r="H3" s="2" t="s">
        <v>233</v>
      </c>
    </row>
    <row r="4" spans="2:8" x14ac:dyDescent="0.25">
      <c r="B4" s="2">
        <v>1</v>
      </c>
      <c r="C4" s="2" t="s">
        <v>125</v>
      </c>
      <c r="D4" s="2" t="s">
        <v>126</v>
      </c>
      <c r="E4" s="2">
        <v>52</v>
      </c>
      <c r="F4" s="16" t="s">
        <v>127</v>
      </c>
      <c r="G4" s="2" t="s">
        <v>174</v>
      </c>
      <c r="H4" s="2" t="s">
        <v>234</v>
      </c>
    </row>
    <row r="5" spans="2:8" ht="30" x14ac:dyDescent="0.25">
      <c r="B5" s="2">
        <v>2</v>
      </c>
      <c r="C5" s="2" t="s">
        <v>128</v>
      </c>
      <c r="D5" s="2" t="s">
        <v>129</v>
      </c>
      <c r="E5" s="2">
        <v>231</v>
      </c>
      <c r="F5" s="16" t="s">
        <v>130</v>
      </c>
      <c r="G5" s="2" t="s">
        <v>175</v>
      </c>
      <c r="H5" s="2" t="s">
        <v>234</v>
      </c>
    </row>
    <row r="6" spans="2:8" x14ac:dyDescent="0.25">
      <c r="B6" s="2">
        <v>3</v>
      </c>
      <c r="C6" s="2" t="s">
        <v>131</v>
      </c>
      <c r="D6" s="2" t="s">
        <v>132</v>
      </c>
      <c r="F6" s="16" t="s">
        <v>133</v>
      </c>
      <c r="G6" s="2" t="s">
        <v>143</v>
      </c>
      <c r="H6" s="2" t="s">
        <v>235</v>
      </c>
    </row>
    <row r="7" spans="2:8" x14ac:dyDescent="0.25">
      <c r="B7" s="2">
        <v>4</v>
      </c>
      <c r="C7" s="2" t="s">
        <v>1</v>
      </c>
      <c r="D7" s="2" t="s">
        <v>135</v>
      </c>
      <c r="F7" s="16" t="s">
        <v>134</v>
      </c>
      <c r="G7" s="2" t="s">
        <v>143</v>
      </c>
      <c r="H7" s="2" t="s">
        <v>235</v>
      </c>
    </row>
    <row r="8" spans="2:8" x14ac:dyDescent="0.25">
      <c r="B8" s="2">
        <v>5</v>
      </c>
      <c r="C8" s="2" t="s">
        <v>10</v>
      </c>
      <c r="D8" s="2" t="s">
        <v>136</v>
      </c>
      <c r="E8" s="2">
        <v>52</v>
      </c>
      <c r="F8" s="16" t="s">
        <v>137</v>
      </c>
      <c r="H8" s="2" t="s">
        <v>234</v>
      </c>
    </row>
    <row r="9" spans="2:8" x14ac:dyDescent="0.25">
      <c r="B9" s="2">
        <v>6</v>
      </c>
      <c r="C9" s="2" t="s">
        <v>3</v>
      </c>
      <c r="D9" s="2" t="s">
        <v>138</v>
      </c>
      <c r="F9" s="16" t="s">
        <v>140</v>
      </c>
      <c r="G9" s="2" t="s">
        <v>139</v>
      </c>
      <c r="H9" s="2" t="s">
        <v>235</v>
      </c>
    </row>
    <row r="10" spans="2:8" x14ac:dyDescent="0.25">
      <c r="B10" s="2">
        <v>7</v>
      </c>
      <c r="C10" s="2" t="s">
        <v>23</v>
      </c>
      <c r="D10" s="2" t="s">
        <v>141</v>
      </c>
      <c r="F10" s="16" t="s">
        <v>142</v>
      </c>
      <c r="G10" s="2" t="s">
        <v>143</v>
      </c>
      <c r="H10" s="2" t="s">
        <v>235</v>
      </c>
    </row>
    <row r="11" spans="2:8" x14ac:dyDescent="0.25">
      <c r="B11" s="2">
        <v>8</v>
      </c>
      <c r="C11" s="2" t="s">
        <v>2</v>
      </c>
      <c r="D11" s="2" t="s">
        <v>145</v>
      </c>
      <c r="E11" s="2">
        <v>23</v>
      </c>
      <c r="F11" s="16" t="s">
        <v>144</v>
      </c>
      <c r="H11" s="2" t="s">
        <v>234</v>
      </c>
    </row>
    <row r="12" spans="2:8" x14ac:dyDescent="0.25">
      <c r="B12" s="2">
        <v>9</v>
      </c>
      <c r="C12" s="2" t="s">
        <v>146</v>
      </c>
      <c r="D12" s="2" t="s">
        <v>146</v>
      </c>
      <c r="E12" s="2">
        <v>34</v>
      </c>
      <c r="F12" s="16" t="s">
        <v>147</v>
      </c>
      <c r="H12" s="2" t="s">
        <v>234</v>
      </c>
    </row>
    <row r="13" spans="2:8" x14ac:dyDescent="0.25">
      <c r="B13" s="2">
        <v>10</v>
      </c>
      <c r="C13" s="2" t="s">
        <v>148</v>
      </c>
      <c r="D13" s="2" t="s">
        <v>149</v>
      </c>
      <c r="F13" s="16" t="s">
        <v>150</v>
      </c>
      <c r="H13" s="2" t="s">
        <v>234</v>
      </c>
    </row>
    <row r="14" spans="2:8" ht="30" x14ac:dyDescent="0.25">
      <c r="B14" s="2">
        <v>11</v>
      </c>
      <c r="C14" s="2" t="s">
        <v>162</v>
      </c>
      <c r="D14" s="2" t="s">
        <v>163</v>
      </c>
      <c r="E14" s="2">
        <v>8</v>
      </c>
      <c r="F14" s="16" t="s">
        <v>323</v>
      </c>
      <c r="G14" s="2" t="s">
        <v>362</v>
      </c>
      <c r="H14" s="2" t="s">
        <v>234</v>
      </c>
    </row>
    <row r="15" spans="2:8" x14ac:dyDescent="0.25">
      <c r="B15" s="2">
        <v>12</v>
      </c>
      <c r="C15" s="2" t="s">
        <v>151</v>
      </c>
      <c r="D15" s="2" t="s">
        <v>152</v>
      </c>
      <c r="E15" s="2">
        <v>14</v>
      </c>
      <c r="F15" s="16" t="s">
        <v>153</v>
      </c>
      <c r="G15" s="2" t="s">
        <v>177</v>
      </c>
    </row>
    <row r="16" spans="2:8" ht="30" x14ac:dyDescent="0.25">
      <c r="B16" s="2">
        <v>13</v>
      </c>
      <c r="C16" s="2" t="s">
        <v>111</v>
      </c>
      <c r="D16" s="2" t="s">
        <v>155</v>
      </c>
      <c r="E16" s="2">
        <v>13</v>
      </c>
      <c r="F16" s="16" t="s">
        <v>154</v>
      </c>
      <c r="H16" s="2" t="s">
        <v>234</v>
      </c>
    </row>
    <row r="17" spans="2:8" x14ac:dyDescent="0.25">
      <c r="B17" s="2">
        <v>14</v>
      </c>
      <c r="C17" s="2" t="s">
        <v>156</v>
      </c>
      <c r="D17" s="2" t="s">
        <v>157</v>
      </c>
      <c r="E17" s="2">
        <v>17</v>
      </c>
      <c r="F17" s="16" t="s">
        <v>158</v>
      </c>
      <c r="G17" s="2" t="s">
        <v>176</v>
      </c>
      <c r="H17" s="2" t="s">
        <v>234</v>
      </c>
    </row>
    <row r="18" spans="2:8" x14ac:dyDescent="0.25">
      <c r="B18" s="2">
        <v>15</v>
      </c>
      <c r="C18" s="2" t="s">
        <v>159</v>
      </c>
      <c r="D18" s="2" t="s">
        <v>160</v>
      </c>
      <c r="E18" s="2">
        <v>6</v>
      </c>
      <c r="F18" s="16" t="s">
        <v>161</v>
      </c>
      <c r="H18" s="2" t="s">
        <v>234</v>
      </c>
    </row>
    <row r="19" spans="2:8" x14ac:dyDescent="0.25">
      <c r="C19" s="2" t="s">
        <v>164</v>
      </c>
      <c r="D19" s="2" t="s">
        <v>165</v>
      </c>
      <c r="E19" s="2">
        <v>8</v>
      </c>
      <c r="F19" s="16" t="s">
        <v>166</v>
      </c>
      <c r="H19" s="2" t="s">
        <v>234</v>
      </c>
    </row>
    <row r="20" spans="2:8" x14ac:dyDescent="0.25">
      <c r="C20" s="2" t="s">
        <v>167</v>
      </c>
      <c r="F20" s="16" t="s">
        <v>168</v>
      </c>
    </row>
    <row r="21" spans="2:8" x14ac:dyDescent="0.25">
      <c r="C21" s="2" t="s">
        <v>169</v>
      </c>
      <c r="F21" s="16" t="s">
        <v>170</v>
      </c>
    </row>
    <row r="22" spans="2:8" x14ac:dyDescent="0.25">
      <c r="C22" s="2" t="s">
        <v>171</v>
      </c>
      <c r="F22" s="16" t="s">
        <v>172</v>
      </c>
      <c r="H22" s="2" t="s">
        <v>234</v>
      </c>
    </row>
  </sheetData>
  <hyperlinks>
    <hyperlink ref="F4" r:id="rId1" xr:uid="{E24D5377-7006-40D2-84C4-6F67ECE939BD}"/>
    <hyperlink ref="F5" r:id="rId2" xr:uid="{C1791956-5C80-4400-865B-111F7C497325}"/>
    <hyperlink ref="F6" r:id="rId3" xr:uid="{AF59191B-8BF9-4481-B830-919140B122C5}"/>
    <hyperlink ref="F7" r:id="rId4" xr:uid="{57464F29-11A2-41B0-96F5-5D2267464BB8}"/>
    <hyperlink ref="F8" r:id="rId5" xr:uid="{A48BFD0A-0E6D-4710-B496-A49ED5C5EDB2}"/>
    <hyperlink ref="F9" r:id="rId6" xr:uid="{2D9A14DF-8BC6-4B94-94D6-356E4DDA5678}"/>
    <hyperlink ref="F10" r:id="rId7" xr:uid="{EBF6700C-2400-4FF4-9C5C-FE0D8602661B}"/>
    <hyperlink ref="F11" r:id="rId8" xr:uid="{9010890C-AAB1-43AE-8C13-B88D2F50A27E}"/>
    <hyperlink ref="F12" r:id="rId9" xr:uid="{CD0059EC-2E06-4F75-BD48-89598246881A}"/>
    <hyperlink ref="F13" r:id="rId10" xr:uid="{1F620B82-9573-4BE5-BFD4-2347F3458C02}"/>
    <hyperlink ref="F16" r:id="rId11" xr:uid="{90F63538-C62D-4F3A-B52B-49CFCDF19152}"/>
    <hyperlink ref="F17" r:id="rId12" xr:uid="{A9A2681A-6A5E-4BE5-A281-AD116A3CDB5C}"/>
    <hyperlink ref="F18" r:id="rId13" xr:uid="{10FD8948-5637-4189-B59D-83E6AE8230B7}"/>
    <hyperlink ref="F15" r:id="rId14" xr:uid="{1CDDA3BC-DA55-4AF7-987B-263BDDAB5AD8}"/>
    <hyperlink ref="F19" r:id="rId15" xr:uid="{A4BF1BAF-C741-4FDB-B6FB-48C0798F66C7}"/>
    <hyperlink ref="F20" r:id="rId16" xr:uid="{6D0574FA-85B8-4A3B-B279-45D8AA2152EF}"/>
    <hyperlink ref="F21" r:id="rId17" xr:uid="{D951B8A0-7630-4BE1-B61A-E9A86A234574}"/>
    <hyperlink ref="F22" r:id="rId18" xr:uid="{B7D01D23-7D89-43F8-94D1-5D0F41D9692D}"/>
    <hyperlink ref="F14" r:id="rId19" xr:uid="{9223E1A8-0D0A-4E19-8CA5-0B83873D83F9}"/>
  </hyperlinks>
  <pageMargins left="0.7" right="0.7" top="0.75" bottom="0.75" header="0.3" footer="0.3"/>
  <pageSetup orientation="portrait" r:id="rId20"/>
  <tableParts count="1">
    <tablePart r:id="rId2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EBA2-1B2E-4D5F-841C-9BA37EB49026}">
  <sheetPr>
    <pageSetUpPr fitToPage="1"/>
  </sheetPr>
  <dimension ref="B3:G67"/>
  <sheetViews>
    <sheetView topLeftCell="A28" workbookViewId="0">
      <selection activeCell="E32" sqref="E32"/>
    </sheetView>
  </sheetViews>
  <sheetFormatPr defaultRowHeight="15" x14ac:dyDescent="0.25"/>
  <cols>
    <col min="1" max="1" width="4.140625" style="2" customWidth="1"/>
    <col min="2" max="2" width="5.5703125" style="2" customWidth="1"/>
    <col min="3" max="3" width="14.5703125" style="2" bestFit="1" customWidth="1"/>
    <col min="4" max="4" width="45.7109375" style="2" customWidth="1"/>
    <col min="5" max="5" width="14.5703125" style="2" customWidth="1"/>
    <col min="6" max="6" width="13.5703125" style="2" customWidth="1"/>
    <col min="7" max="7" width="34.140625" style="2" customWidth="1"/>
    <col min="8" max="16384" width="9.140625" style="2"/>
  </cols>
  <sheetData>
    <row r="3" spans="2:7" x14ac:dyDescent="0.25">
      <c r="B3" s="2" t="s">
        <v>14</v>
      </c>
      <c r="C3" s="2" t="s">
        <v>236</v>
      </c>
      <c r="D3" s="2" t="s">
        <v>242</v>
      </c>
      <c r="E3" s="2" t="s">
        <v>243</v>
      </c>
      <c r="F3" s="2" t="s">
        <v>247</v>
      </c>
      <c r="G3" s="2" t="s">
        <v>233</v>
      </c>
    </row>
    <row r="4" spans="2:7" ht="30" x14ac:dyDescent="0.25">
      <c r="B4" s="2">
        <v>1</v>
      </c>
      <c r="C4" s="2" t="s">
        <v>105</v>
      </c>
      <c r="D4" s="2" t="s">
        <v>251</v>
      </c>
      <c r="E4" s="2" t="s">
        <v>252</v>
      </c>
      <c r="F4" s="2" t="s">
        <v>207</v>
      </c>
      <c r="G4" s="2" t="s">
        <v>253</v>
      </c>
    </row>
    <row r="5" spans="2:7" ht="30" x14ac:dyDescent="0.25">
      <c r="B5" s="2">
        <v>2</v>
      </c>
      <c r="C5" s="2" t="s">
        <v>105</v>
      </c>
      <c r="D5" s="2" t="s">
        <v>254</v>
      </c>
      <c r="E5" s="2" t="s">
        <v>252</v>
      </c>
      <c r="F5" s="2" t="s">
        <v>255</v>
      </c>
      <c r="G5" s="2" t="s">
        <v>253</v>
      </c>
    </row>
    <row r="6" spans="2:7" ht="30" x14ac:dyDescent="0.25">
      <c r="C6" s="2" t="s">
        <v>105</v>
      </c>
      <c r="D6" s="2" t="s">
        <v>257</v>
      </c>
      <c r="E6" s="2" t="s">
        <v>252</v>
      </c>
      <c r="F6" s="2" t="s">
        <v>256</v>
      </c>
      <c r="G6" s="2" t="s">
        <v>253</v>
      </c>
    </row>
    <row r="7" spans="2:7" ht="75" x14ac:dyDescent="0.25">
      <c r="C7" s="2" t="s">
        <v>105</v>
      </c>
      <c r="D7" s="2" t="s">
        <v>286</v>
      </c>
      <c r="E7" s="2" t="s">
        <v>252</v>
      </c>
      <c r="F7" s="2" t="s">
        <v>258</v>
      </c>
    </row>
    <row r="8" spans="2:7" ht="60" x14ac:dyDescent="0.25">
      <c r="C8" s="2" t="s">
        <v>105</v>
      </c>
      <c r="D8" s="2" t="s">
        <v>260</v>
      </c>
      <c r="E8" s="2" t="s">
        <v>252</v>
      </c>
      <c r="F8" s="2" t="s">
        <v>259</v>
      </c>
    </row>
    <row r="9" spans="2:7" ht="45" x14ac:dyDescent="0.25">
      <c r="C9" s="2" t="s">
        <v>105</v>
      </c>
      <c r="D9" s="2" t="s">
        <v>261</v>
      </c>
      <c r="E9" s="2" t="s">
        <v>252</v>
      </c>
      <c r="F9" s="2" t="s">
        <v>131</v>
      </c>
      <c r="G9" s="2" t="s">
        <v>253</v>
      </c>
    </row>
    <row r="10" spans="2:7" ht="30" x14ac:dyDescent="0.25">
      <c r="C10" s="2" t="s">
        <v>105</v>
      </c>
      <c r="D10" s="2" t="s">
        <v>262</v>
      </c>
      <c r="E10" s="2" t="s">
        <v>252</v>
      </c>
      <c r="F10" s="2" t="s">
        <v>263</v>
      </c>
    </row>
    <row r="11" spans="2:7" ht="30" x14ac:dyDescent="0.25">
      <c r="C11" s="2" t="s">
        <v>105</v>
      </c>
      <c r="D11" s="2" t="s">
        <v>264</v>
      </c>
      <c r="E11" s="2" t="s">
        <v>252</v>
      </c>
      <c r="F11" s="2" t="s">
        <v>265</v>
      </c>
    </row>
    <row r="12" spans="2:7" ht="30" x14ac:dyDescent="0.25">
      <c r="C12" s="2" t="s">
        <v>105</v>
      </c>
      <c r="D12" s="2" t="s">
        <v>266</v>
      </c>
      <c r="E12" s="2" t="s">
        <v>252</v>
      </c>
      <c r="F12" s="2" t="s">
        <v>164</v>
      </c>
    </row>
    <row r="13" spans="2:7" ht="30" x14ac:dyDescent="0.25">
      <c r="C13" s="2" t="s">
        <v>267</v>
      </c>
      <c r="D13" s="2" t="s">
        <v>268</v>
      </c>
      <c r="E13" s="2" t="s">
        <v>269</v>
      </c>
      <c r="F13" s="2" t="s">
        <v>270</v>
      </c>
      <c r="G13" s="2" t="s">
        <v>271</v>
      </c>
    </row>
    <row r="14" spans="2:7" ht="30" x14ac:dyDescent="0.25">
      <c r="C14" s="2" t="s">
        <v>267</v>
      </c>
      <c r="D14" s="2" t="s">
        <v>273</v>
      </c>
      <c r="E14" s="2" t="s">
        <v>269</v>
      </c>
      <c r="F14" s="2" t="s">
        <v>274</v>
      </c>
    </row>
    <row r="15" spans="2:7" ht="30" x14ac:dyDescent="0.25">
      <c r="C15" s="2" t="s">
        <v>267</v>
      </c>
      <c r="D15" s="2" t="s">
        <v>281</v>
      </c>
      <c r="E15" s="2" t="s">
        <v>269</v>
      </c>
      <c r="F15" s="2" t="s">
        <v>280</v>
      </c>
      <c r="G15" s="2" t="s">
        <v>363</v>
      </c>
    </row>
    <row r="16" spans="2:7" x14ac:dyDescent="0.25">
      <c r="C16" s="2" t="s">
        <v>267</v>
      </c>
      <c r="D16" s="2" t="s">
        <v>283</v>
      </c>
      <c r="E16" s="2" t="s">
        <v>282</v>
      </c>
      <c r="F16" s="2" t="s">
        <v>284</v>
      </c>
      <c r="G16" s="2" t="s">
        <v>253</v>
      </c>
    </row>
    <row r="17" spans="3:7" ht="45" x14ac:dyDescent="0.25">
      <c r="C17" s="2" t="s">
        <v>267</v>
      </c>
      <c r="D17" s="2" t="s">
        <v>290</v>
      </c>
      <c r="E17" s="2" t="s">
        <v>282</v>
      </c>
      <c r="F17" s="2" t="s">
        <v>1</v>
      </c>
      <c r="G17" s="2" t="s">
        <v>285</v>
      </c>
    </row>
    <row r="18" spans="3:7" ht="30" x14ac:dyDescent="0.25">
      <c r="C18" s="2" t="s">
        <v>267</v>
      </c>
      <c r="D18" s="2" t="s">
        <v>287</v>
      </c>
      <c r="E18" s="2" t="s">
        <v>288</v>
      </c>
      <c r="F18" s="2" t="s">
        <v>289</v>
      </c>
    </row>
    <row r="19" spans="3:7" x14ac:dyDescent="0.25">
      <c r="C19" s="2" t="s">
        <v>267</v>
      </c>
      <c r="D19" s="2" t="s">
        <v>303</v>
      </c>
      <c r="E19" s="2" t="s">
        <v>252</v>
      </c>
      <c r="F19" s="2" t="s">
        <v>239</v>
      </c>
    </row>
    <row r="20" spans="3:7" ht="45" x14ac:dyDescent="0.25">
      <c r="C20" s="2" t="s">
        <v>267</v>
      </c>
      <c r="D20" s="2" t="s">
        <v>291</v>
      </c>
      <c r="E20" s="2" t="s">
        <v>292</v>
      </c>
      <c r="F20" s="2" t="s">
        <v>256</v>
      </c>
    </row>
    <row r="21" spans="3:7" ht="45" x14ac:dyDescent="0.25">
      <c r="C21" s="2" t="s">
        <v>267</v>
      </c>
      <c r="D21" s="2" t="s">
        <v>294</v>
      </c>
      <c r="E21" s="2" t="s">
        <v>295</v>
      </c>
      <c r="F21" s="2" t="s">
        <v>296</v>
      </c>
    </row>
    <row r="22" spans="3:7" x14ac:dyDescent="0.25">
      <c r="C22" s="2" t="s">
        <v>267</v>
      </c>
      <c r="D22" s="2" t="s">
        <v>297</v>
      </c>
      <c r="E22" s="2" t="s">
        <v>298</v>
      </c>
      <c r="F22" s="2" t="s">
        <v>299</v>
      </c>
    </row>
    <row r="23" spans="3:7" ht="30" x14ac:dyDescent="0.25">
      <c r="C23" s="2" t="s">
        <v>267</v>
      </c>
      <c r="D23" s="2" t="s">
        <v>300</v>
      </c>
      <c r="E23" s="2" t="s">
        <v>293</v>
      </c>
      <c r="F23" s="2" t="s">
        <v>301</v>
      </c>
    </row>
    <row r="24" spans="3:7" ht="45" x14ac:dyDescent="0.25">
      <c r="C24" s="2" t="s">
        <v>267</v>
      </c>
      <c r="D24" s="2" t="s">
        <v>304</v>
      </c>
      <c r="E24" s="2" t="s">
        <v>295</v>
      </c>
      <c r="F24" s="2" t="s">
        <v>256</v>
      </c>
    </row>
    <row r="25" spans="3:7" ht="30" x14ac:dyDescent="0.25">
      <c r="C25" s="2" t="s">
        <v>267</v>
      </c>
      <c r="D25" s="2" t="s">
        <v>305</v>
      </c>
      <c r="E25" s="2" t="s">
        <v>282</v>
      </c>
      <c r="F25" s="2" t="s">
        <v>239</v>
      </c>
    </row>
    <row r="26" spans="3:7" ht="60" x14ac:dyDescent="0.25">
      <c r="C26" s="2" t="s">
        <v>267</v>
      </c>
      <c r="D26" s="2" t="s">
        <v>307</v>
      </c>
      <c r="E26" s="2" t="s">
        <v>295</v>
      </c>
      <c r="F26" s="2" t="s">
        <v>256</v>
      </c>
    </row>
    <row r="27" spans="3:7" x14ac:dyDescent="0.25">
      <c r="C27" s="2" t="s">
        <v>267</v>
      </c>
      <c r="D27" s="2" t="s">
        <v>306</v>
      </c>
      <c r="E27" s="2" t="s">
        <v>302</v>
      </c>
      <c r="F27" s="2" t="s">
        <v>239</v>
      </c>
    </row>
    <row r="28" spans="3:7" ht="45" x14ac:dyDescent="0.25">
      <c r="C28" s="2" t="s">
        <v>267</v>
      </c>
      <c r="D28" s="2" t="s">
        <v>308</v>
      </c>
      <c r="E28" s="2" t="s">
        <v>295</v>
      </c>
      <c r="F28" s="2" t="s">
        <v>256</v>
      </c>
    </row>
    <row r="29" spans="3:7" ht="45" x14ac:dyDescent="0.25">
      <c r="C29" s="2" t="s">
        <v>267</v>
      </c>
      <c r="D29" s="2" t="s">
        <v>309</v>
      </c>
      <c r="E29" s="2" t="s">
        <v>282</v>
      </c>
      <c r="F29" s="2" t="s">
        <v>128</v>
      </c>
    </row>
    <row r="30" spans="3:7" ht="30" x14ac:dyDescent="0.25">
      <c r="C30" s="2" t="s">
        <v>267</v>
      </c>
      <c r="D30" s="2" t="s">
        <v>310</v>
      </c>
      <c r="E30" s="2" t="s">
        <v>282</v>
      </c>
      <c r="F30" s="2" t="s">
        <v>258</v>
      </c>
    </row>
    <row r="31" spans="3:7" ht="45" x14ac:dyDescent="0.25">
      <c r="C31" s="2" t="s">
        <v>267</v>
      </c>
      <c r="D31" s="2" t="s">
        <v>311</v>
      </c>
      <c r="E31" s="2" t="s">
        <v>312</v>
      </c>
      <c r="F31" s="2" t="s">
        <v>313</v>
      </c>
    </row>
    <row r="32" spans="3:7" ht="90" x14ac:dyDescent="0.25">
      <c r="C32" s="2" t="s">
        <v>267</v>
      </c>
      <c r="D32" s="2" t="s">
        <v>314</v>
      </c>
      <c r="E32" s="2" t="s">
        <v>282</v>
      </c>
      <c r="F32" s="2" t="s">
        <v>315</v>
      </c>
    </row>
    <row r="33" spans="3:7" ht="30" x14ac:dyDescent="0.25">
      <c r="C33" s="2" t="s">
        <v>267</v>
      </c>
      <c r="D33" s="2" t="s">
        <v>316</v>
      </c>
      <c r="E33" s="2" t="s">
        <v>282</v>
      </c>
      <c r="F33" s="2" t="s">
        <v>258</v>
      </c>
    </row>
    <row r="34" spans="3:7" ht="30" x14ac:dyDescent="0.25">
      <c r="C34" s="2" t="s">
        <v>267</v>
      </c>
      <c r="D34" s="2" t="s">
        <v>319</v>
      </c>
      <c r="E34" s="2" t="s">
        <v>317</v>
      </c>
      <c r="F34" s="2" t="s">
        <v>318</v>
      </c>
    </row>
    <row r="35" spans="3:7" ht="30" x14ac:dyDescent="0.25">
      <c r="C35" s="2" t="s">
        <v>320</v>
      </c>
      <c r="D35" s="2" t="s">
        <v>321</v>
      </c>
      <c r="E35" s="2" t="s">
        <v>317</v>
      </c>
      <c r="F35" s="2" t="s">
        <v>322</v>
      </c>
      <c r="G35" s="2" t="s">
        <v>385</v>
      </c>
    </row>
    <row r="36" spans="3:7" ht="60" x14ac:dyDescent="0.25">
      <c r="C36" s="2" t="s">
        <v>320</v>
      </c>
      <c r="D36" s="2" t="s">
        <v>324</v>
      </c>
      <c r="E36" s="2" t="s">
        <v>317</v>
      </c>
      <c r="F36" s="2" t="s">
        <v>325</v>
      </c>
      <c r="G36" s="2" t="s">
        <v>386</v>
      </c>
    </row>
    <row r="37" spans="3:7" ht="30" x14ac:dyDescent="0.25">
      <c r="C37" s="2" t="s">
        <v>320</v>
      </c>
      <c r="D37" s="2" t="s">
        <v>326</v>
      </c>
      <c r="E37" s="2" t="s">
        <v>317</v>
      </c>
      <c r="F37" s="2" t="s">
        <v>259</v>
      </c>
      <c r="G37" s="2" t="s">
        <v>385</v>
      </c>
    </row>
    <row r="38" spans="3:7" ht="30" x14ac:dyDescent="0.25">
      <c r="C38" s="2" t="s">
        <v>320</v>
      </c>
      <c r="D38" s="2" t="s">
        <v>345</v>
      </c>
      <c r="E38" s="2" t="s">
        <v>328</v>
      </c>
      <c r="F38" s="2" t="s">
        <v>203</v>
      </c>
      <c r="G38" s="2" t="s">
        <v>385</v>
      </c>
    </row>
    <row r="39" spans="3:7" x14ac:dyDescent="0.25">
      <c r="C39" s="2" t="s">
        <v>320</v>
      </c>
      <c r="D39" s="2" t="s">
        <v>327</v>
      </c>
      <c r="E39" s="2" t="s">
        <v>328</v>
      </c>
      <c r="F39" s="2" t="s">
        <v>329</v>
      </c>
      <c r="G39" s="2" t="s">
        <v>385</v>
      </c>
    </row>
    <row r="40" spans="3:7" ht="30" x14ac:dyDescent="0.25">
      <c r="C40" s="2" t="s">
        <v>320</v>
      </c>
      <c r="D40" s="2" t="s">
        <v>330</v>
      </c>
      <c r="E40" s="2" t="s">
        <v>331</v>
      </c>
      <c r="F40" s="2" t="s">
        <v>332</v>
      </c>
      <c r="G40" s="2" t="s">
        <v>385</v>
      </c>
    </row>
    <row r="41" spans="3:7" x14ac:dyDescent="0.25">
      <c r="C41" s="2" t="s">
        <v>320</v>
      </c>
      <c r="D41" s="2" t="s">
        <v>333</v>
      </c>
      <c r="E41" s="2" t="s">
        <v>328</v>
      </c>
      <c r="F41" s="2" t="s">
        <v>329</v>
      </c>
      <c r="G41" s="2" t="s">
        <v>385</v>
      </c>
    </row>
    <row r="42" spans="3:7" x14ac:dyDescent="0.25">
      <c r="C42" s="2" t="s">
        <v>320</v>
      </c>
      <c r="D42" s="2" t="s">
        <v>340</v>
      </c>
      <c r="E42" s="2" t="s">
        <v>341</v>
      </c>
      <c r="F42" s="2" t="s">
        <v>332</v>
      </c>
      <c r="G42" s="2" t="s">
        <v>385</v>
      </c>
    </row>
    <row r="43" spans="3:7" ht="30" x14ac:dyDescent="0.25">
      <c r="C43" s="2" t="s">
        <v>334</v>
      </c>
      <c r="D43" s="2" t="s">
        <v>335</v>
      </c>
      <c r="E43" s="2" t="s">
        <v>317</v>
      </c>
      <c r="F43" s="2" t="s">
        <v>325</v>
      </c>
      <c r="G43" s="2" t="s">
        <v>385</v>
      </c>
    </row>
    <row r="44" spans="3:7" x14ac:dyDescent="0.25">
      <c r="C44" s="2" t="s">
        <v>334</v>
      </c>
      <c r="D44" s="2" t="s">
        <v>339</v>
      </c>
      <c r="E44" s="2" t="s">
        <v>331</v>
      </c>
      <c r="F44" s="2" t="s">
        <v>332</v>
      </c>
    </row>
    <row r="45" spans="3:7" ht="30" x14ac:dyDescent="0.25">
      <c r="C45" s="2" t="s">
        <v>334</v>
      </c>
      <c r="D45" s="2" t="s">
        <v>337</v>
      </c>
      <c r="E45" s="2" t="s">
        <v>336</v>
      </c>
      <c r="F45" s="2" t="s">
        <v>338</v>
      </c>
    </row>
    <row r="46" spans="3:7" x14ac:dyDescent="0.25">
      <c r="C46" s="2" t="s">
        <v>334</v>
      </c>
      <c r="D46" s="2" t="s">
        <v>339</v>
      </c>
      <c r="E46" s="2" t="s">
        <v>331</v>
      </c>
      <c r="F46" s="2" t="s">
        <v>332</v>
      </c>
    </row>
    <row r="47" spans="3:7" ht="30" x14ac:dyDescent="0.25">
      <c r="C47" s="2" t="s">
        <v>334</v>
      </c>
      <c r="D47" s="2" t="s">
        <v>342</v>
      </c>
      <c r="E47" s="2" t="s">
        <v>343</v>
      </c>
      <c r="F47" s="2" t="s">
        <v>203</v>
      </c>
    </row>
    <row r="48" spans="3:7" x14ac:dyDescent="0.25">
      <c r="C48" s="2" t="s">
        <v>334</v>
      </c>
      <c r="D48" s="2" t="s">
        <v>344</v>
      </c>
      <c r="E48" s="2" t="s">
        <v>317</v>
      </c>
      <c r="F48" s="2" t="s">
        <v>259</v>
      </c>
    </row>
    <row r="49" spans="3:6" ht="30" x14ac:dyDescent="0.25">
      <c r="C49" s="2" t="s">
        <v>334</v>
      </c>
      <c r="D49" s="2" t="s">
        <v>346</v>
      </c>
      <c r="E49" s="2" t="s">
        <v>328</v>
      </c>
      <c r="F49" s="2" t="s">
        <v>203</v>
      </c>
    </row>
    <row r="50" spans="3:6" ht="30" x14ac:dyDescent="0.25">
      <c r="C50" s="2" t="s">
        <v>334</v>
      </c>
      <c r="D50" s="2" t="s">
        <v>347</v>
      </c>
      <c r="E50" s="2" t="s">
        <v>336</v>
      </c>
      <c r="F50" s="2" t="s">
        <v>338</v>
      </c>
    </row>
    <row r="51" spans="3:6" ht="30" x14ac:dyDescent="0.25">
      <c r="C51" s="2" t="s">
        <v>334</v>
      </c>
      <c r="D51" s="2" t="s">
        <v>348</v>
      </c>
      <c r="E51" s="2" t="s">
        <v>328</v>
      </c>
      <c r="F51" s="2" t="s">
        <v>203</v>
      </c>
    </row>
    <row r="52" spans="3:6" x14ac:dyDescent="0.25">
      <c r="C52" s="2" t="s">
        <v>334</v>
      </c>
      <c r="D52" s="2" t="s">
        <v>349</v>
      </c>
      <c r="E52" s="2" t="s">
        <v>341</v>
      </c>
      <c r="F52" s="2" t="s">
        <v>332</v>
      </c>
    </row>
    <row r="53" spans="3:6" ht="60" x14ac:dyDescent="0.25">
      <c r="C53" s="2" t="s">
        <v>350</v>
      </c>
      <c r="D53" s="2" t="s">
        <v>351</v>
      </c>
      <c r="E53" s="2" t="s">
        <v>352</v>
      </c>
    </row>
    <row r="54" spans="3:6" ht="30" x14ac:dyDescent="0.25">
      <c r="C54" s="2" t="s">
        <v>350</v>
      </c>
      <c r="D54" s="2" t="s">
        <v>353</v>
      </c>
      <c r="E54" s="2" t="s">
        <v>336</v>
      </c>
      <c r="F54" s="2" t="s">
        <v>338</v>
      </c>
    </row>
    <row r="55" spans="3:6" x14ac:dyDescent="0.25">
      <c r="C55" s="2" t="s">
        <v>350</v>
      </c>
      <c r="D55" s="2" t="s">
        <v>354</v>
      </c>
      <c r="E55" s="2" t="s">
        <v>317</v>
      </c>
      <c r="F55" s="2" t="s">
        <v>6</v>
      </c>
    </row>
    <row r="56" spans="3:6" ht="30" x14ac:dyDescent="0.25">
      <c r="C56" s="2" t="s">
        <v>350</v>
      </c>
      <c r="D56" s="2" t="s">
        <v>355</v>
      </c>
      <c r="E56" s="2" t="s">
        <v>317</v>
      </c>
      <c r="F56" s="2" t="s">
        <v>325</v>
      </c>
    </row>
    <row r="57" spans="3:6" x14ac:dyDescent="0.25">
      <c r="C57" s="2" t="s">
        <v>350</v>
      </c>
      <c r="D57" s="2" t="s">
        <v>364</v>
      </c>
      <c r="E57" s="2" t="s">
        <v>317</v>
      </c>
      <c r="F57" s="2" t="s">
        <v>2</v>
      </c>
    </row>
    <row r="58" spans="3:6" ht="30" x14ac:dyDescent="0.25">
      <c r="C58" s="2" t="s">
        <v>350</v>
      </c>
      <c r="D58" s="2" t="s">
        <v>365</v>
      </c>
      <c r="E58" s="2" t="s">
        <v>366</v>
      </c>
      <c r="F58" s="2" t="s">
        <v>338</v>
      </c>
    </row>
    <row r="59" spans="3:6" ht="45" x14ac:dyDescent="0.25">
      <c r="C59" s="2" t="s">
        <v>350</v>
      </c>
      <c r="D59" s="2" t="s">
        <v>367</v>
      </c>
      <c r="E59" s="2" t="s">
        <v>368</v>
      </c>
      <c r="F59" s="2" t="s">
        <v>350</v>
      </c>
    </row>
    <row r="60" spans="3:6" ht="45" x14ac:dyDescent="0.25">
      <c r="C60" s="2" t="s">
        <v>350</v>
      </c>
      <c r="D60" s="2" t="s">
        <v>369</v>
      </c>
      <c r="E60" s="2" t="s">
        <v>370</v>
      </c>
      <c r="F60" s="2" t="s">
        <v>371</v>
      </c>
    </row>
    <row r="61" spans="3:6" ht="45" x14ac:dyDescent="0.25">
      <c r="C61" s="2" t="s">
        <v>350</v>
      </c>
      <c r="D61" s="2" t="s">
        <v>374</v>
      </c>
      <c r="E61" s="2" t="s">
        <v>372</v>
      </c>
      <c r="F61" s="2" t="s">
        <v>371</v>
      </c>
    </row>
    <row r="62" spans="3:6" ht="45" x14ac:dyDescent="0.25">
      <c r="C62" s="2" t="s">
        <v>373</v>
      </c>
      <c r="D62" s="2" t="s">
        <v>381</v>
      </c>
      <c r="E62" s="2" t="s">
        <v>282</v>
      </c>
      <c r="F62" s="2" t="s">
        <v>375</v>
      </c>
    </row>
    <row r="63" spans="3:6" ht="45" x14ac:dyDescent="0.25">
      <c r="C63" s="2" t="s">
        <v>373</v>
      </c>
      <c r="D63" s="2" t="s">
        <v>376</v>
      </c>
      <c r="E63" s="2" t="s">
        <v>282</v>
      </c>
      <c r="F63" s="2" t="s">
        <v>375</v>
      </c>
    </row>
    <row r="64" spans="3:6" ht="45" x14ac:dyDescent="0.25">
      <c r="C64" s="2" t="s">
        <v>373</v>
      </c>
      <c r="D64" s="2" t="s">
        <v>378</v>
      </c>
      <c r="E64" s="2" t="s">
        <v>282</v>
      </c>
      <c r="F64" s="2" t="s">
        <v>377</v>
      </c>
    </row>
    <row r="65" spans="3:6" ht="45" x14ac:dyDescent="0.25">
      <c r="C65" s="2" t="s">
        <v>373</v>
      </c>
      <c r="D65" s="2" t="s">
        <v>379</v>
      </c>
      <c r="E65" s="2" t="s">
        <v>282</v>
      </c>
      <c r="F65" s="2" t="s">
        <v>111</v>
      </c>
    </row>
    <row r="66" spans="3:6" ht="45" x14ac:dyDescent="0.25">
      <c r="C66" s="2" t="s">
        <v>373</v>
      </c>
      <c r="D66" s="2" t="s">
        <v>380</v>
      </c>
      <c r="E66" s="2" t="s">
        <v>282</v>
      </c>
      <c r="F66" s="2" t="s">
        <v>263</v>
      </c>
    </row>
    <row r="67" spans="3:6" ht="45" x14ac:dyDescent="0.25">
      <c r="C67" s="2" t="s">
        <v>382</v>
      </c>
      <c r="D67" s="2" t="s">
        <v>383</v>
      </c>
      <c r="E67" s="2" t="s">
        <v>317</v>
      </c>
      <c r="F67" s="2" t="s">
        <v>325</v>
      </c>
    </row>
  </sheetData>
  <pageMargins left="0.7" right="0.7" top="0.75" bottom="0.75" header="0.3" footer="0.3"/>
  <pageSetup scale="45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2CDFB-6D43-4950-9A8A-1C265A4CF44B}">
  <dimension ref="B3:E5"/>
  <sheetViews>
    <sheetView workbookViewId="0">
      <selection activeCell="G19" sqref="G19"/>
    </sheetView>
  </sheetViews>
  <sheetFormatPr defaultRowHeight="15" x14ac:dyDescent="0.25"/>
  <cols>
    <col min="1" max="1" width="5.140625" style="2" customWidth="1"/>
    <col min="2" max="2" width="4.42578125" style="2" customWidth="1"/>
    <col min="3" max="3" width="32" style="2" customWidth="1"/>
    <col min="4" max="4" width="9.140625" style="2" customWidth="1"/>
    <col min="5" max="5" width="53.28515625" style="2" customWidth="1"/>
    <col min="6" max="16384" width="9.140625" style="2"/>
  </cols>
  <sheetData>
    <row r="3" spans="2:5" x14ac:dyDescent="0.25">
      <c r="B3" s="2" t="s">
        <v>14</v>
      </c>
      <c r="C3" s="2" t="s">
        <v>276</v>
      </c>
      <c r="D3" s="2" t="s">
        <v>38</v>
      </c>
      <c r="E3" s="2" t="s">
        <v>32</v>
      </c>
    </row>
    <row r="4" spans="2:5" x14ac:dyDescent="0.25">
      <c r="B4" s="2">
        <v>1</v>
      </c>
      <c r="C4" s="2" t="s">
        <v>277</v>
      </c>
      <c r="E4" s="2" t="s">
        <v>279</v>
      </c>
    </row>
    <row r="5" spans="2:5" x14ac:dyDescent="0.25">
      <c r="B5" s="2">
        <v>2</v>
      </c>
      <c r="C5" s="2" t="s">
        <v>278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C3F0C-6C13-48B2-B9AF-2B8AF4ECA009}">
  <dimension ref="B3:E6"/>
  <sheetViews>
    <sheetView zoomScale="130" zoomScaleNormal="130" workbookViewId="0">
      <selection activeCell="D26" sqref="D26"/>
    </sheetView>
  </sheetViews>
  <sheetFormatPr defaultRowHeight="15" x14ac:dyDescent="0.25"/>
  <cols>
    <col min="1" max="1" width="4.140625" style="2" customWidth="1"/>
    <col min="2" max="2" width="7.85546875" style="2" customWidth="1"/>
    <col min="3" max="3" width="22.28515625" style="2" customWidth="1"/>
    <col min="4" max="4" width="48.85546875" style="2" customWidth="1"/>
    <col min="5" max="5" width="59.28515625" style="2" customWidth="1"/>
    <col min="6" max="16384" width="9.140625" style="2"/>
  </cols>
  <sheetData>
    <row r="3" spans="2:5" x14ac:dyDescent="0.25">
      <c r="B3" s="2" t="s">
        <v>14</v>
      </c>
      <c r="C3" s="2" t="s">
        <v>236</v>
      </c>
      <c r="D3" s="2" t="s">
        <v>237</v>
      </c>
      <c r="E3" s="2" t="s">
        <v>238</v>
      </c>
    </row>
    <row r="6" spans="2:5" ht="60" x14ac:dyDescent="0.25">
      <c r="B6" s="2">
        <v>1</v>
      </c>
      <c r="C6" s="2" t="s">
        <v>239</v>
      </c>
      <c r="D6" s="2" t="s">
        <v>241</v>
      </c>
      <c r="E6" s="2" t="s">
        <v>240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280F5-9B80-4685-AD93-6AC2DD27AF9F}">
  <sheetPr codeName="Sheet12"/>
  <dimension ref="B3:G9"/>
  <sheetViews>
    <sheetView workbookViewId="0">
      <selection activeCell="G15" sqref="G15"/>
    </sheetView>
  </sheetViews>
  <sheetFormatPr defaultRowHeight="15" x14ac:dyDescent="0.25"/>
  <cols>
    <col min="1" max="1" width="5.85546875" style="2" customWidth="1"/>
    <col min="2" max="2" width="6.42578125" style="2" customWidth="1"/>
    <col min="3" max="3" width="22.5703125" style="2" customWidth="1"/>
    <col min="4" max="4" width="9.140625" style="2"/>
    <col min="5" max="5" width="29.42578125" style="2" customWidth="1"/>
    <col min="6" max="6" width="33.140625" style="2" customWidth="1"/>
    <col min="7" max="7" width="47.5703125" style="2" customWidth="1"/>
    <col min="8" max="16384" width="9.140625" style="2"/>
  </cols>
  <sheetData>
    <row r="3" spans="2:7" x14ac:dyDescent="0.25">
      <c r="B3" s="2" t="s">
        <v>14</v>
      </c>
      <c r="C3" s="2" t="s">
        <v>191</v>
      </c>
      <c r="D3" s="2" t="s">
        <v>184</v>
      </c>
      <c r="E3" s="2" t="s">
        <v>185</v>
      </c>
      <c r="F3" s="2" t="s">
        <v>186</v>
      </c>
      <c r="G3" s="2" t="s">
        <v>32</v>
      </c>
    </row>
    <row r="4" spans="2:7" x14ac:dyDescent="0.25">
      <c r="B4" s="2">
        <v>1</v>
      </c>
      <c r="C4" s="2" t="s">
        <v>56</v>
      </c>
      <c r="D4" s="2" t="s">
        <v>63</v>
      </c>
      <c r="E4" s="2" t="s">
        <v>187</v>
      </c>
      <c r="F4" s="2">
        <v>38</v>
      </c>
      <c r="G4" s="2" t="s">
        <v>188</v>
      </c>
    </row>
    <row r="5" spans="2:7" ht="45" x14ac:dyDescent="0.25">
      <c r="E5" s="2" t="s">
        <v>198</v>
      </c>
      <c r="F5" s="2" t="s">
        <v>189</v>
      </c>
      <c r="G5" s="2" t="s">
        <v>199</v>
      </c>
    </row>
    <row r="6" spans="2:7" ht="30" x14ac:dyDescent="0.25">
      <c r="F6" s="2" t="s">
        <v>190</v>
      </c>
    </row>
    <row r="7" spans="2:7" ht="30" x14ac:dyDescent="0.25">
      <c r="C7" s="2" t="s">
        <v>192</v>
      </c>
      <c r="F7" s="2" t="s">
        <v>193</v>
      </c>
    </row>
    <row r="8" spans="2:7" ht="30" x14ac:dyDescent="0.25">
      <c r="C8" s="2" t="s">
        <v>194</v>
      </c>
      <c r="F8" s="2" t="s">
        <v>195</v>
      </c>
    </row>
    <row r="9" spans="2:7" ht="30" x14ac:dyDescent="0.25">
      <c r="C9" s="2" t="s">
        <v>196</v>
      </c>
      <c r="F9" s="2" t="s">
        <v>197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A665A-FE5D-4619-8B48-4CD1DB9B02B3}">
  <dimension ref="B3:D8"/>
  <sheetViews>
    <sheetView zoomScale="115" zoomScaleNormal="115" workbookViewId="0"/>
  </sheetViews>
  <sheetFormatPr defaultRowHeight="15" x14ac:dyDescent="0.25"/>
  <cols>
    <col min="1" max="1" width="4.85546875" style="2" customWidth="1"/>
    <col min="2" max="2" width="6.5703125" style="2" customWidth="1"/>
    <col min="3" max="3" width="43.42578125" style="2" customWidth="1"/>
    <col min="4" max="4" width="45.5703125" style="2" customWidth="1"/>
    <col min="5" max="16384" width="9.140625" style="2"/>
  </cols>
  <sheetData>
    <row r="3" spans="2:4" x14ac:dyDescent="0.25">
      <c r="B3" s="2" t="s">
        <v>14</v>
      </c>
      <c r="C3" s="2" t="s">
        <v>200</v>
      </c>
      <c r="D3" s="2" t="s">
        <v>32</v>
      </c>
    </row>
    <row r="4" spans="2:4" x14ac:dyDescent="0.25">
      <c r="B4" s="2">
        <v>1</v>
      </c>
      <c r="C4" s="2" t="s">
        <v>201</v>
      </c>
      <c r="D4" s="2" t="s">
        <v>202</v>
      </c>
    </row>
    <row r="5" spans="2:4" x14ac:dyDescent="0.25">
      <c r="C5" s="2" t="s">
        <v>217</v>
      </c>
    </row>
    <row r="6" spans="2:4" ht="30" x14ac:dyDescent="0.25">
      <c r="C6" s="2" t="s">
        <v>218</v>
      </c>
    </row>
    <row r="7" spans="2:4" x14ac:dyDescent="0.25">
      <c r="C7" s="2" t="s">
        <v>219</v>
      </c>
    </row>
    <row r="8" spans="2:4" x14ac:dyDescent="0.25">
      <c r="C8" s="2" t="s">
        <v>220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67E34-AD35-4C66-BEE3-E9891D770EE1}">
  <dimension ref="B2:H7"/>
  <sheetViews>
    <sheetView zoomScale="115" zoomScaleNormal="115" workbookViewId="0">
      <selection activeCell="D7" sqref="D7"/>
    </sheetView>
  </sheetViews>
  <sheetFormatPr defaultRowHeight="15" x14ac:dyDescent="0.25"/>
  <cols>
    <col min="1" max="1" width="5.42578125" style="2" customWidth="1"/>
    <col min="2" max="2" width="6.5703125" style="2" customWidth="1"/>
    <col min="3" max="3" width="28.5703125" style="2" customWidth="1"/>
    <col min="4" max="4" width="38.7109375" style="2" customWidth="1"/>
    <col min="5" max="5" width="43.42578125" style="2" customWidth="1"/>
    <col min="6" max="6" width="36.42578125" style="2" customWidth="1"/>
    <col min="7" max="16384" width="9.140625" style="2"/>
  </cols>
  <sheetData>
    <row r="2" spans="2:8" ht="18.75" x14ac:dyDescent="0.25">
      <c r="C2" s="17" t="s">
        <v>224</v>
      </c>
      <c r="D2" s="17"/>
      <c r="E2" s="17"/>
      <c r="F2" s="17"/>
      <c r="G2" s="17"/>
      <c r="H2" s="17"/>
    </row>
    <row r="4" spans="2:8" x14ac:dyDescent="0.25">
      <c r="B4" s="2" t="s">
        <v>14</v>
      </c>
      <c r="C4" s="2" t="s">
        <v>225</v>
      </c>
      <c r="D4" s="2" t="s">
        <v>226</v>
      </c>
      <c r="E4" s="2" t="s">
        <v>227</v>
      </c>
      <c r="F4" s="2" t="s">
        <v>231</v>
      </c>
    </row>
    <row r="5" spans="2:8" ht="45" x14ac:dyDescent="0.25">
      <c r="B5" s="2">
        <v>1</v>
      </c>
      <c r="C5" s="2" t="s">
        <v>228</v>
      </c>
      <c r="D5" s="2" t="s">
        <v>229</v>
      </c>
      <c r="E5" s="2" t="s">
        <v>230</v>
      </c>
      <c r="F5" s="2" t="s">
        <v>232</v>
      </c>
    </row>
    <row r="6" spans="2:8" ht="60" x14ac:dyDescent="0.25">
      <c r="B6" s="2">
        <v>2</v>
      </c>
      <c r="C6" s="2" t="s">
        <v>387</v>
      </c>
      <c r="E6" s="2" t="s">
        <v>388</v>
      </c>
    </row>
    <row r="7" spans="2:8" ht="60" x14ac:dyDescent="0.25">
      <c r="B7" s="2">
        <v>3</v>
      </c>
      <c r="C7" s="2" t="s">
        <v>389</v>
      </c>
    </row>
  </sheetData>
  <mergeCells count="1">
    <mergeCell ref="C2:H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E3C83-BADA-4485-ADA6-19098920E3A0}">
  <dimension ref="B3:G19"/>
  <sheetViews>
    <sheetView workbookViewId="0">
      <selection activeCell="D26" sqref="D26"/>
    </sheetView>
  </sheetViews>
  <sheetFormatPr defaultRowHeight="15" x14ac:dyDescent="0.25"/>
  <cols>
    <col min="1" max="1" width="4.7109375" style="2" customWidth="1"/>
    <col min="2" max="2" width="7" style="2" customWidth="1"/>
    <col min="3" max="3" width="19.140625" style="2" customWidth="1"/>
    <col min="4" max="4" width="18.28515625" style="2" customWidth="1"/>
    <col min="5" max="5" width="17.85546875" style="2" customWidth="1"/>
    <col min="6" max="6" width="18.140625" style="2" customWidth="1"/>
    <col min="7" max="7" width="46.140625" style="2" customWidth="1"/>
    <col min="8" max="16384" width="9.140625" style="2"/>
  </cols>
  <sheetData>
    <row r="3" spans="2:7" x14ac:dyDescent="0.25">
      <c r="B3" s="2" t="s">
        <v>14</v>
      </c>
      <c r="C3" s="2" t="s">
        <v>13</v>
      </c>
      <c r="D3" s="2" t="s">
        <v>56</v>
      </c>
      <c r="E3" s="2" t="s">
        <v>12</v>
      </c>
      <c r="F3" s="2" t="s">
        <v>18</v>
      </c>
      <c r="G3" s="2" t="s">
        <v>32</v>
      </c>
    </row>
    <row r="4" spans="2:7" x14ac:dyDescent="0.25">
      <c r="B4" s="2">
        <v>1</v>
      </c>
      <c r="C4" s="2" t="s">
        <v>203</v>
      </c>
      <c r="D4" s="2">
        <v>55</v>
      </c>
      <c r="E4" s="2">
        <v>4</v>
      </c>
      <c r="F4" s="2">
        <f>Weight[[#This Row],[Weight]]*Weight[[#This Row],['# of]]</f>
        <v>220</v>
      </c>
    </row>
    <row r="5" spans="2:7" x14ac:dyDescent="0.25">
      <c r="B5" s="2">
        <v>2</v>
      </c>
      <c r="C5" s="2" t="s">
        <v>131</v>
      </c>
      <c r="D5" s="2">
        <v>28</v>
      </c>
      <c r="E5" s="2">
        <v>4</v>
      </c>
      <c r="F5" s="2">
        <f>Weight[[#This Row],[Weight]]*Weight[[#This Row],['# of]]</f>
        <v>112</v>
      </c>
    </row>
    <row r="6" spans="2:7" x14ac:dyDescent="0.25">
      <c r="B6" s="2">
        <v>3</v>
      </c>
      <c r="C6" s="2" t="s">
        <v>3</v>
      </c>
      <c r="D6" s="2">
        <v>272</v>
      </c>
      <c r="E6" s="2">
        <v>1</v>
      </c>
      <c r="F6" s="2">
        <f>Weight[[#This Row],[Weight]]*Weight[[#This Row],['# of]]</f>
        <v>272</v>
      </c>
      <c r="G6" s="2" t="s">
        <v>213</v>
      </c>
    </row>
    <row r="7" spans="2:7" x14ac:dyDescent="0.25">
      <c r="B7" s="2">
        <v>4</v>
      </c>
      <c r="C7" s="2" t="s">
        <v>204</v>
      </c>
      <c r="D7" s="2">
        <v>20</v>
      </c>
      <c r="E7" s="2">
        <v>1</v>
      </c>
      <c r="F7" s="2">
        <f>Weight[[#This Row],[Weight]]*Weight[[#This Row],['# of]]</f>
        <v>20</v>
      </c>
      <c r="G7" s="2" t="s">
        <v>214</v>
      </c>
    </row>
    <row r="8" spans="2:7" x14ac:dyDescent="0.25">
      <c r="B8" s="2">
        <v>5</v>
      </c>
      <c r="C8" s="2" t="s">
        <v>2</v>
      </c>
      <c r="D8" s="2">
        <v>266</v>
      </c>
      <c r="E8" s="2">
        <v>1</v>
      </c>
      <c r="F8" s="2">
        <f>Weight[[#This Row],[Weight]]*Weight[[#This Row],['# of]]</f>
        <v>266</v>
      </c>
      <c r="G8" s="2" t="s">
        <v>215</v>
      </c>
    </row>
    <row r="9" spans="2:7" x14ac:dyDescent="0.25">
      <c r="B9" s="2">
        <v>6</v>
      </c>
      <c r="C9" s="2" t="s">
        <v>6</v>
      </c>
      <c r="D9" s="2">
        <v>10</v>
      </c>
      <c r="E9" s="2">
        <v>4</v>
      </c>
      <c r="F9" s="2">
        <f>Weight[[#This Row],[Weight]]*Weight[[#This Row],['# of]]</f>
        <v>40</v>
      </c>
    </row>
    <row r="10" spans="2:7" x14ac:dyDescent="0.25">
      <c r="B10" s="2">
        <v>7</v>
      </c>
      <c r="C10" s="2" t="s">
        <v>205</v>
      </c>
      <c r="D10" s="2">
        <v>20</v>
      </c>
      <c r="E10" s="2">
        <v>1</v>
      </c>
      <c r="F10" s="2">
        <f>Weight[[#This Row],[Weight]]*Weight[[#This Row],['# of]]</f>
        <v>20</v>
      </c>
    </row>
    <row r="11" spans="2:7" x14ac:dyDescent="0.25">
      <c r="B11" s="2">
        <v>8</v>
      </c>
      <c r="C11" s="2" t="s">
        <v>206</v>
      </c>
      <c r="D11" s="2">
        <v>68</v>
      </c>
      <c r="E11" s="2">
        <v>1</v>
      </c>
      <c r="F11" s="2">
        <f>Weight[[#This Row],[Weight]]*Weight[[#This Row],['# of]]</f>
        <v>68</v>
      </c>
    </row>
    <row r="12" spans="2:7" x14ac:dyDescent="0.25">
      <c r="B12" s="2">
        <v>9</v>
      </c>
      <c r="C12" s="2" t="s">
        <v>207</v>
      </c>
      <c r="D12" s="2">
        <v>20</v>
      </c>
      <c r="E12" s="2">
        <v>1</v>
      </c>
      <c r="F12" s="2">
        <f>Weight[[#This Row],[Weight]]*Weight[[#This Row],['# of]]</f>
        <v>20</v>
      </c>
    </row>
    <row r="13" spans="2:7" x14ac:dyDescent="0.25">
      <c r="B13" s="2">
        <v>10</v>
      </c>
      <c r="C13" s="2" t="s">
        <v>111</v>
      </c>
      <c r="D13" s="2">
        <v>10</v>
      </c>
      <c r="E13" s="2">
        <v>1</v>
      </c>
      <c r="F13" s="2">
        <f>Weight[[#This Row],[Weight]]*Weight[[#This Row],['# of]]</f>
        <v>10</v>
      </c>
    </row>
    <row r="14" spans="2:7" x14ac:dyDescent="0.25">
      <c r="B14" s="2">
        <v>11</v>
      </c>
      <c r="C14" s="2" t="s">
        <v>208</v>
      </c>
      <c r="D14" s="2">
        <v>20</v>
      </c>
      <c r="E14" s="2">
        <v>1</v>
      </c>
      <c r="F14" s="2">
        <f>Weight[[#This Row],[Weight]]*Weight[[#This Row],['# of]]</f>
        <v>20</v>
      </c>
    </row>
    <row r="15" spans="2:7" x14ac:dyDescent="0.25">
      <c r="B15" s="2">
        <v>12</v>
      </c>
      <c r="C15" s="2" t="s">
        <v>209</v>
      </c>
      <c r="D15" s="2">
        <v>20</v>
      </c>
      <c r="E15" s="2">
        <v>1</v>
      </c>
      <c r="F15" s="2">
        <f>Weight[[#This Row],[Weight]]*Weight[[#This Row],['# of]]</f>
        <v>20</v>
      </c>
    </row>
    <row r="17" spans="3:4" x14ac:dyDescent="0.25">
      <c r="C17" s="2" t="s">
        <v>210</v>
      </c>
      <c r="D17" s="2">
        <f>SUM(Weight[Total Weight])</f>
        <v>1088</v>
      </c>
    </row>
    <row r="18" spans="3:4" x14ac:dyDescent="0.25">
      <c r="C18" s="2" t="s">
        <v>211</v>
      </c>
      <c r="D18" s="2">
        <v>2</v>
      </c>
    </row>
    <row r="19" spans="3:4" x14ac:dyDescent="0.25">
      <c r="C19" s="2" t="s">
        <v>212</v>
      </c>
      <c r="D19" s="2">
        <f>D18*D17</f>
        <v>2176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Home</vt:lpstr>
      <vt:lpstr>Spec</vt:lpstr>
      <vt:lpstr>BOM</vt:lpstr>
      <vt:lpstr>E-Stop</vt:lpstr>
      <vt:lpstr>FPV</vt:lpstr>
      <vt:lpstr>FAQ</vt:lpstr>
      <vt:lpstr>Learning</vt:lpstr>
      <vt:lpstr>Resources</vt:lpstr>
      <vt:lpstr>Glossary</vt:lpstr>
      <vt:lpstr>Log</vt:lpstr>
      <vt:lpstr>Caleb BOM</vt:lpstr>
      <vt:lpstr>Steps</vt:lpstr>
      <vt:lpstr>Tools</vt:lpstr>
      <vt:lpstr>Next time</vt:lpstr>
      <vt:lpstr>Navio V PixH</vt:lpstr>
      <vt:lpstr>Design Process</vt:lpstr>
      <vt:lpstr>Issues</vt:lpstr>
      <vt:lpstr>Weight 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acvid</dc:creator>
  <cp:lastModifiedBy>acvid</cp:lastModifiedBy>
  <cp:lastPrinted>2020-01-19T22:40:46Z</cp:lastPrinted>
  <dcterms:created xsi:type="dcterms:W3CDTF">2019-08-04T02:12:44Z</dcterms:created>
  <dcterms:modified xsi:type="dcterms:W3CDTF">2020-02-18T05:53:41Z</dcterms:modified>
</cp:coreProperties>
</file>